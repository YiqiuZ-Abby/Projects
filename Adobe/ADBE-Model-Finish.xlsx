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yiqiuzheng_macbook/Desktop/jobhunting_Oct2026/Adobe/"/>
    </mc:Choice>
  </mc:AlternateContent>
  <xr:revisionPtr revIDLastSave="0" documentId="13_ncr:1_{4E28EF2B-BB10-D841-BBB8-5EAD571BBB7F}" xr6:coauthVersionLast="47" xr6:coauthVersionMax="47" xr10:uidLastSave="{00000000-0000-0000-0000-000000000000}"/>
  <bookViews>
    <workbookView xWindow="4440" yWindow="760" windowWidth="24960" windowHeight="16760" activeTab="4" xr2:uid="{35C24F85-E8A0-F94A-8AAF-3D8DE4DCCE36}"/>
  </bookViews>
  <sheets>
    <sheet name="COVER" sheetId="6" r:id="rId1"/>
    <sheet name="Summary" sheetId="5" r:id="rId2"/>
    <sheet name="Assumptions" sheetId="1" r:id="rId3"/>
    <sheet name="Model" sheetId="7" r:id="rId4"/>
    <sheet name="DCF" sheetId="11" r:id="rId5"/>
    <sheet name="Scenarios" sheetId="10" r:id="rId6"/>
  </sheets>
  <definedNames>
    <definedName name="_xlchart.v1.0" hidden="1">DCF!$G$22:$G$24</definedName>
    <definedName name="_xlchart.v1.1" hidden="1">DCF!$I$22:$I$24</definedName>
    <definedName name="_xlnm.Print_Area" localSheetId="0">COVER!$A$4:$K$28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K43" i="5"/>
  <c r="L43" i="5" s="1"/>
  <c r="M43" i="5" s="1"/>
  <c r="N43" i="5" s="1"/>
  <c r="O43" i="5" s="1"/>
  <c r="K26" i="5"/>
  <c r="L26" i="5" s="1"/>
  <c r="M26" i="5" s="1"/>
  <c r="N26" i="5" s="1"/>
  <c r="O26" i="5" s="1"/>
  <c r="K9" i="5"/>
  <c r="L9" i="5" s="1"/>
  <c r="M9" i="5" s="1"/>
  <c r="N9" i="5" s="1"/>
  <c r="O9" i="5" s="1"/>
  <c r="J9" i="5" l="1"/>
  <c r="I9" i="5" s="1"/>
  <c r="H9" i="5" s="1"/>
  <c r="G9" i="5" s="1"/>
  <c r="F9" i="5" s="1"/>
  <c r="J43" i="5"/>
  <c r="I43" i="5" s="1"/>
  <c r="H43" i="5" s="1"/>
  <c r="G43" i="5" s="1"/>
  <c r="F43" i="5" s="1"/>
  <c r="J26" i="5"/>
  <c r="I26" i="5" s="1"/>
  <c r="H26" i="5" s="1"/>
  <c r="G26" i="5" s="1"/>
  <c r="F26" i="5" s="1"/>
  <c r="T16" i="5"/>
  <c r="Q1" i="7"/>
  <c r="Q300" i="7" s="1"/>
  <c r="AA26" i="5"/>
  <c r="AB20" i="5"/>
  <c r="AC20" i="5" s="1"/>
  <c r="AD20" i="5" s="1"/>
  <c r="AE20" i="5" s="1"/>
  <c r="AF20" i="5" s="1"/>
  <c r="J9" i="10"/>
  <c r="K9" i="10"/>
  <c r="L9" i="10"/>
  <c r="M9" i="10"/>
  <c r="J15" i="10"/>
  <c r="K15" i="10"/>
  <c r="L15" i="10"/>
  <c r="M15" i="10"/>
  <c r="I15" i="10"/>
  <c r="I9" i="10"/>
  <c r="M117" i="7"/>
  <c r="N117" i="7" s="1"/>
  <c r="O117" i="7" s="1"/>
  <c r="P117" i="7" s="1"/>
  <c r="Q117" i="7" s="1"/>
  <c r="AA20" i="5" l="1"/>
  <c r="Z20" i="5" s="1"/>
  <c r="Y20" i="5" s="1"/>
  <c r="X20" i="5" s="1"/>
  <c r="W20" i="5" s="1"/>
  <c r="Q39" i="7"/>
  <c r="Q71" i="7"/>
  <c r="Q102" i="7"/>
  <c r="Q240" i="7"/>
  <c r="Q154" i="7"/>
  <c r="Q270" i="7"/>
  <c r="Q200" i="7"/>
  <c r="D42" i="11" l="1"/>
  <c r="D43" i="11" s="1"/>
  <c r="D40" i="11"/>
  <c r="D39" i="11" s="1"/>
  <c r="H38" i="11"/>
  <c r="I38" i="11" s="1"/>
  <c r="F38" i="11"/>
  <c r="E38" i="11" s="1"/>
  <c r="H29" i="11" l="1"/>
  <c r="I29" i="11" s="1"/>
  <c r="D31" i="11"/>
  <c r="D30" i="11" s="1"/>
  <c r="F29" i="11" l="1"/>
  <c r="E29" i="11" s="1"/>
  <c r="D33" i="11"/>
  <c r="D34" i="11" s="1"/>
  <c r="N288" i="7"/>
  <c r="O288" i="7"/>
  <c r="P288" i="7"/>
  <c r="Q288" i="7"/>
  <c r="N263" i="7"/>
  <c r="O263" i="7"/>
  <c r="P263" i="7"/>
  <c r="Q263" i="7"/>
  <c r="M263" i="7"/>
  <c r="I22" i="11" l="1"/>
  <c r="I16" i="11"/>
  <c r="M136" i="7"/>
  <c r="M89" i="7"/>
  <c r="M121" i="7"/>
  <c r="N121" i="7" s="1"/>
  <c r="O121" i="7" s="1"/>
  <c r="P121" i="7" s="1"/>
  <c r="Q121" i="7" s="1"/>
  <c r="M88" i="7"/>
  <c r="J264" i="7"/>
  <c r="E22" i="11"/>
  <c r="F3" i="11" l="1"/>
  <c r="G3" i="11" s="1"/>
  <c r="H3" i="11" s="1"/>
  <c r="I3" i="11" s="1"/>
  <c r="E2" i="11" l="1"/>
  <c r="F2" i="11" s="1"/>
  <c r="G2" i="11" s="1"/>
  <c r="H2" i="11" s="1"/>
  <c r="I2" i="11" s="1"/>
  <c r="N14" i="7" l="1"/>
  <c r="O14" i="7"/>
  <c r="P14" i="7"/>
  <c r="Q14" i="7"/>
  <c r="M14" i="7"/>
  <c r="M133" i="7"/>
  <c r="N133" i="7" s="1"/>
  <c r="O133" i="7" s="1"/>
  <c r="P133" i="7" s="1"/>
  <c r="Q133" i="7" s="1"/>
  <c r="N181" i="7" l="1"/>
  <c r="O181" i="7"/>
  <c r="P181" i="7"/>
  <c r="Q181" i="7"/>
  <c r="M181" i="7"/>
  <c r="N136" i="7"/>
  <c r="O136" i="7" s="1"/>
  <c r="P136" i="7" s="1"/>
  <c r="Q136" i="7" s="1"/>
  <c r="N173" i="7"/>
  <c r="O173" i="7"/>
  <c r="P173" i="7"/>
  <c r="Q173" i="7"/>
  <c r="M173" i="7"/>
  <c r="N182" i="7"/>
  <c r="O182" i="7"/>
  <c r="P182" i="7"/>
  <c r="Q182" i="7"/>
  <c r="M182" i="7"/>
  <c r="M142" i="7" s="1"/>
  <c r="N165" i="7"/>
  <c r="O165" i="7"/>
  <c r="P165" i="7"/>
  <c r="Q165" i="7"/>
  <c r="M165" i="7"/>
  <c r="M140" i="7" s="1"/>
  <c r="M285" i="7"/>
  <c r="N285" i="7"/>
  <c r="O285" i="7"/>
  <c r="P285" i="7"/>
  <c r="Q285" i="7"/>
  <c r="N316" i="7"/>
  <c r="O316" i="7"/>
  <c r="O168" i="7" s="1"/>
  <c r="P316" i="7"/>
  <c r="P168" i="7" s="1"/>
  <c r="Q316" i="7"/>
  <c r="Q168" i="7" s="1"/>
  <c r="M316" i="7"/>
  <c r="N315" i="7"/>
  <c r="O315" i="7"/>
  <c r="P315" i="7"/>
  <c r="Q315" i="7"/>
  <c r="M315" i="7"/>
  <c r="N89" i="7"/>
  <c r="O89" i="7"/>
  <c r="P89" i="7"/>
  <c r="Q89" i="7"/>
  <c r="N88" i="7"/>
  <c r="O88" i="7"/>
  <c r="P88" i="7"/>
  <c r="Q88" i="7"/>
  <c r="O281" i="7"/>
  <c r="P281" i="7"/>
  <c r="Q281" i="7"/>
  <c r="N183" i="7"/>
  <c r="O183" i="7"/>
  <c r="P183" i="7"/>
  <c r="Q183" i="7"/>
  <c r="N289" i="7"/>
  <c r="N184" i="7" s="1"/>
  <c r="O289" i="7"/>
  <c r="O184" i="7" s="1"/>
  <c r="Q289" i="7"/>
  <c r="Q184" i="7" s="1"/>
  <c r="M288" i="7"/>
  <c r="V9" i="1"/>
  <c r="P289" i="7" s="1"/>
  <c r="P184" i="7" s="1"/>
  <c r="S9" i="1"/>
  <c r="M289" i="7" s="1"/>
  <c r="L285" i="7"/>
  <c r="N281" i="7"/>
  <c r="M281" i="7"/>
  <c r="N251" i="7"/>
  <c r="O251" i="7"/>
  <c r="O174" i="7" s="1"/>
  <c r="P251" i="7"/>
  <c r="P174" i="7" s="1"/>
  <c r="Q251" i="7"/>
  <c r="Q174" i="7" s="1"/>
  <c r="M251" i="7"/>
  <c r="N258" i="7"/>
  <c r="O258" i="7"/>
  <c r="O175" i="7" s="1"/>
  <c r="P258" i="7"/>
  <c r="P175" i="7" s="1"/>
  <c r="Q258" i="7"/>
  <c r="Q175" i="7" s="1"/>
  <c r="M258" i="7"/>
  <c r="N259" i="7"/>
  <c r="O259" i="7"/>
  <c r="O176" i="7" s="1"/>
  <c r="P259" i="7"/>
  <c r="P176" i="7" s="1"/>
  <c r="Q259" i="7"/>
  <c r="Q176" i="7" s="1"/>
  <c r="M259" i="7"/>
  <c r="N253" i="7"/>
  <c r="O253" i="7"/>
  <c r="P253" i="7"/>
  <c r="Q253" i="7"/>
  <c r="M253" i="7"/>
  <c r="N221" i="7"/>
  <c r="O221" i="7"/>
  <c r="P221" i="7"/>
  <c r="Q221" i="7"/>
  <c r="N220" i="7"/>
  <c r="O220" i="7"/>
  <c r="P220" i="7"/>
  <c r="Q220" i="7"/>
  <c r="N219" i="7"/>
  <c r="O219" i="7"/>
  <c r="P219" i="7"/>
  <c r="Q219" i="7"/>
  <c r="M221" i="7"/>
  <c r="M220" i="7"/>
  <c r="M219" i="7"/>
  <c r="M216" i="7"/>
  <c r="L224" i="7"/>
  <c r="N216" i="7"/>
  <c r="O216" i="7"/>
  <c r="P216" i="7"/>
  <c r="Q216" i="7"/>
  <c r="N215" i="7"/>
  <c r="O215" i="7"/>
  <c r="P215" i="7"/>
  <c r="Q215" i="7"/>
  <c r="M215" i="7"/>
  <c r="N63" i="7"/>
  <c r="O63" i="7"/>
  <c r="P63" i="7"/>
  <c r="Q63" i="7"/>
  <c r="M63" i="7"/>
  <c r="N61" i="7"/>
  <c r="O61" i="7"/>
  <c r="P61" i="7"/>
  <c r="Q61" i="7"/>
  <c r="M61" i="7"/>
  <c r="N59" i="7"/>
  <c r="O59" i="7"/>
  <c r="P59" i="7"/>
  <c r="Q59" i="7"/>
  <c r="M59" i="7"/>
  <c r="N53" i="7"/>
  <c r="O53" i="7"/>
  <c r="P53" i="7"/>
  <c r="Q53" i="7"/>
  <c r="N51" i="7"/>
  <c r="O51" i="7"/>
  <c r="P51" i="7"/>
  <c r="Q51" i="7"/>
  <c r="M53" i="7"/>
  <c r="M51" i="7"/>
  <c r="N49" i="7"/>
  <c r="O49" i="7"/>
  <c r="P49" i="7"/>
  <c r="Q49" i="7"/>
  <c r="M49" i="7"/>
  <c r="I5" i="10"/>
  <c r="R4" i="1"/>
  <c r="S4" i="1" s="1"/>
  <c r="T4" i="1" s="1"/>
  <c r="U4" i="1" s="1"/>
  <c r="V4" i="1" s="1"/>
  <c r="B1" i="10"/>
  <c r="I8" i="11" l="1"/>
  <c r="H8" i="11"/>
  <c r="G8" i="11"/>
  <c r="P186" i="7"/>
  <c r="Q186" i="7"/>
  <c r="O186" i="7"/>
  <c r="Q178" i="7"/>
  <c r="O178" i="7"/>
  <c r="P178" i="7"/>
  <c r="V8" i="1"/>
  <c r="Q260" i="7" s="1"/>
  <c r="Q64" i="7" s="1"/>
  <c r="T8" i="1"/>
  <c r="O260" i="7" s="1"/>
  <c r="O64" i="7" s="1"/>
  <c r="U8" i="1"/>
  <c r="P260" i="7" s="1"/>
  <c r="P64" i="7" s="1"/>
  <c r="S8" i="1"/>
  <c r="N260" i="7" s="1"/>
  <c r="N64" i="7" s="1"/>
  <c r="R8" i="1"/>
  <c r="M260" i="7" s="1"/>
  <c r="M64" i="7" s="1"/>
  <c r="J5" i="10"/>
  <c r="K5" i="10" s="1"/>
  <c r="L5" i="10" s="1"/>
  <c r="M5" i="10" s="1"/>
  <c r="E308" i="7"/>
  <c r="I54" i="7"/>
  <c r="J54" i="7"/>
  <c r="K54" i="7"/>
  <c r="L54" i="7"/>
  <c r="H54" i="7"/>
  <c r="N142" i="7"/>
  <c r="O142" i="7" s="1"/>
  <c r="P142" i="7" s="1"/>
  <c r="Q142" i="7" s="1"/>
  <c r="M143" i="7"/>
  <c r="N143" i="7" s="1"/>
  <c r="O143" i="7" s="1"/>
  <c r="P143" i="7" s="1"/>
  <c r="Q143" i="7" s="1"/>
  <c r="M128" i="7"/>
  <c r="N128" i="7" s="1"/>
  <c r="O128" i="7" s="1"/>
  <c r="P128" i="7" s="1"/>
  <c r="Q128" i="7" s="1"/>
  <c r="M129" i="7"/>
  <c r="N129" i="7" s="1"/>
  <c r="O129" i="7" s="1"/>
  <c r="P129" i="7" s="1"/>
  <c r="Q129" i="7" s="1"/>
  <c r="M134" i="7"/>
  <c r="N134" i="7" s="1"/>
  <c r="O134" i="7" s="1"/>
  <c r="P134" i="7" s="1"/>
  <c r="Q134" i="7" s="1"/>
  <c r="M135" i="7"/>
  <c r="N135" i="7" s="1"/>
  <c r="O135" i="7" s="1"/>
  <c r="P135" i="7" s="1"/>
  <c r="Q135" i="7" s="1"/>
  <c r="N140" i="7"/>
  <c r="O140" i="7" s="1"/>
  <c r="P140" i="7" s="1"/>
  <c r="Q140" i="7" s="1"/>
  <c r="N176" i="7"/>
  <c r="M176" i="7"/>
  <c r="M118" i="7" s="1"/>
  <c r="I259" i="7"/>
  <c r="J259" i="7"/>
  <c r="K259" i="7"/>
  <c r="L259" i="7"/>
  <c r="H259" i="7"/>
  <c r="N186" i="7"/>
  <c r="N175" i="7"/>
  <c r="N174" i="7"/>
  <c r="F8" i="11" s="1"/>
  <c r="N168" i="7"/>
  <c r="M30" i="7"/>
  <c r="M25" i="7"/>
  <c r="M175" i="7"/>
  <c r="I258" i="7"/>
  <c r="J258" i="7"/>
  <c r="K258" i="7"/>
  <c r="L258" i="7"/>
  <c r="H258" i="7"/>
  <c r="M174" i="7"/>
  <c r="E8" i="11" s="1"/>
  <c r="M168" i="7"/>
  <c r="M184" i="7"/>
  <c r="M183" i="7"/>
  <c r="M112" i="7"/>
  <c r="N112" i="7" s="1"/>
  <c r="O112" i="7" s="1"/>
  <c r="P112" i="7" s="1"/>
  <c r="Q112" i="7" s="1"/>
  <c r="I264" i="7"/>
  <c r="K264" i="7"/>
  <c r="L264" i="7"/>
  <c r="I251" i="7"/>
  <c r="J251" i="7"/>
  <c r="K251" i="7"/>
  <c r="L251" i="7"/>
  <c r="H251" i="7"/>
  <c r="H253" i="7"/>
  <c r="H264" i="7"/>
  <c r="I260" i="7"/>
  <c r="J260" i="7"/>
  <c r="J263" i="7" s="1"/>
  <c r="K260" i="7"/>
  <c r="L260" i="7"/>
  <c r="H260" i="7"/>
  <c r="I261" i="7"/>
  <c r="J257" i="7" s="1"/>
  <c r="J261" i="7"/>
  <c r="K257" i="7" s="1"/>
  <c r="K261" i="7"/>
  <c r="L257" i="7" s="1"/>
  <c r="L261" i="7"/>
  <c r="M257" i="7" s="1"/>
  <c r="I255" i="7"/>
  <c r="J250" i="7" s="1"/>
  <c r="J253" i="7" s="1"/>
  <c r="J255" i="7"/>
  <c r="K250" i="7" s="1"/>
  <c r="K253" i="7" s="1"/>
  <c r="K255" i="7"/>
  <c r="L255" i="7"/>
  <c r="M250" i="7" s="1"/>
  <c r="M252" i="7" s="1"/>
  <c r="H192" i="7"/>
  <c r="K182" i="7"/>
  <c r="K186" i="7" s="1"/>
  <c r="L182" i="7"/>
  <c r="L186" i="7" s="1"/>
  <c r="J182" i="7"/>
  <c r="J186" i="7" s="1"/>
  <c r="I182" i="7"/>
  <c r="I186" i="7" s="1"/>
  <c r="H182" i="7"/>
  <c r="H186" i="7" s="1"/>
  <c r="H178" i="7"/>
  <c r="I178" i="7"/>
  <c r="J178" i="7"/>
  <c r="K178" i="7"/>
  <c r="L178" i="7"/>
  <c r="H293" i="7"/>
  <c r="I293" i="7"/>
  <c r="J293" i="7"/>
  <c r="K293" i="7"/>
  <c r="L293" i="7"/>
  <c r="L287" i="7"/>
  <c r="M287" i="7"/>
  <c r="L286" i="7"/>
  <c r="M286" i="7"/>
  <c r="M126" i="7" s="1"/>
  <c r="L290" i="7"/>
  <c r="H316" i="7"/>
  <c r="I316" i="7"/>
  <c r="J316" i="7"/>
  <c r="K316" i="7"/>
  <c r="L316" i="7"/>
  <c r="H314" i="7"/>
  <c r="I314" i="7"/>
  <c r="J314" i="7"/>
  <c r="K314" i="7"/>
  <c r="L314" i="7"/>
  <c r="I313" i="7"/>
  <c r="J313" i="7"/>
  <c r="K313" i="7"/>
  <c r="L313" i="7"/>
  <c r="H313" i="7"/>
  <c r="H261" i="7"/>
  <c r="I257" i="7" s="1"/>
  <c r="H255" i="7"/>
  <c r="I250" i="7" s="1"/>
  <c r="N286" i="7" l="1"/>
  <c r="N118" i="7"/>
  <c r="O118" i="7" s="1"/>
  <c r="P118" i="7" s="1"/>
  <c r="Q118" i="7" s="1"/>
  <c r="N126" i="7"/>
  <c r="O286" i="7" s="1"/>
  <c r="M264" i="7"/>
  <c r="M164" i="7" s="1"/>
  <c r="E5" i="11" s="1"/>
  <c r="N178" i="7"/>
  <c r="M261" i="7"/>
  <c r="M119" i="7" s="1"/>
  <c r="L263" i="7"/>
  <c r="I263" i="7"/>
  <c r="M186" i="7"/>
  <c r="I254" i="7"/>
  <c r="I253" i="7"/>
  <c r="J254" i="7"/>
  <c r="K254" i="7"/>
  <c r="K263" i="7"/>
  <c r="H263" i="7"/>
  <c r="H254" i="7"/>
  <c r="L250" i="7"/>
  <c r="L253" i="7" s="1"/>
  <c r="M290" i="7"/>
  <c r="K317" i="7"/>
  <c r="K318" i="7" s="1"/>
  <c r="J317" i="7"/>
  <c r="J318" i="7" s="1"/>
  <c r="H317" i="7"/>
  <c r="H318" i="7" s="1"/>
  <c r="I317" i="7"/>
  <c r="I318" i="7" s="1"/>
  <c r="L317" i="7"/>
  <c r="L318" i="7" s="1"/>
  <c r="H231" i="7"/>
  <c r="I231" i="7"/>
  <c r="J231" i="7"/>
  <c r="K231" i="7"/>
  <c r="L231" i="7"/>
  <c r="L230" i="7"/>
  <c r="H169" i="7"/>
  <c r="I169" i="7"/>
  <c r="J169" i="7"/>
  <c r="L169" i="7"/>
  <c r="K169" i="7"/>
  <c r="I190" i="7"/>
  <c r="I230" i="7"/>
  <c r="J230" i="7"/>
  <c r="K230" i="7"/>
  <c r="H230" i="7"/>
  <c r="I229" i="7"/>
  <c r="J229" i="7"/>
  <c r="K229" i="7"/>
  <c r="L229" i="7"/>
  <c r="H229" i="7"/>
  <c r="I225" i="7"/>
  <c r="J225" i="7"/>
  <c r="K225" i="7"/>
  <c r="L225" i="7"/>
  <c r="H225" i="7"/>
  <c r="I224" i="7"/>
  <c r="J224" i="7"/>
  <c r="K224" i="7"/>
  <c r="H224" i="7"/>
  <c r="I144" i="7"/>
  <c r="J144" i="7"/>
  <c r="K144" i="7"/>
  <c r="L144" i="7"/>
  <c r="H144" i="7"/>
  <c r="I131" i="7"/>
  <c r="I137" i="7" s="1"/>
  <c r="J131" i="7"/>
  <c r="J137" i="7" s="1"/>
  <c r="K131" i="7"/>
  <c r="K137" i="7" s="1"/>
  <c r="L131" i="7"/>
  <c r="L137" i="7" s="1"/>
  <c r="H131" i="7"/>
  <c r="H115" i="7"/>
  <c r="H122" i="7" s="1"/>
  <c r="I115" i="7"/>
  <c r="I122" i="7" s="1"/>
  <c r="K115" i="7"/>
  <c r="K122" i="7" s="1"/>
  <c r="L115" i="7"/>
  <c r="L122" i="7" s="1"/>
  <c r="J115" i="7"/>
  <c r="J122" i="7" s="1"/>
  <c r="O126" i="7" l="1"/>
  <c r="P286" i="7"/>
  <c r="P126" i="7"/>
  <c r="M291" i="7"/>
  <c r="M132" i="7"/>
  <c r="N257" i="7"/>
  <c r="N261" i="7" s="1"/>
  <c r="M255" i="7"/>
  <c r="M116" i="7" s="1"/>
  <c r="L254" i="7"/>
  <c r="J226" i="7"/>
  <c r="K226" i="7"/>
  <c r="K227" i="7" s="1"/>
  <c r="I226" i="7"/>
  <c r="H232" i="7"/>
  <c r="J232" i="7"/>
  <c r="L226" i="7"/>
  <c r="I232" i="7"/>
  <c r="K232" i="7"/>
  <c r="L232" i="7"/>
  <c r="H226" i="7"/>
  <c r="I146" i="7"/>
  <c r="I148" i="7" s="1"/>
  <c r="L146" i="7"/>
  <c r="L148" i="7" s="1"/>
  <c r="K146" i="7"/>
  <c r="K148" i="7" s="1"/>
  <c r="J146" i="7"/>
  <c r="J148" i="7" s="1"/>
  <c r="H137" i="7"/>
  <c r="H146" i="7" s="1"/>
  <c r="H148" i="7" s="1"/>
  <c r="N287" i="7" l="1"/>
  <c r="N290" i="7" s="1"/>
  <c r="N132" i="7" s="1"/>
  <c r="O287" i="7" s="1"/>
  <c r="N10" i="11"/>
  <c r="Q286" i="7"/>
  <c r="Q126" i="7"/>
  <c r="N291" i="7"/>
  <c r="N119" i="7"/>
  <c r="O257" i="7"/>
  <c r="O261" i="7" s="1"/>
  <c r="N250" i="7"/>
  <c r="I227" i="7"/>
  <c r="L227" i="7"/>
  <c r="I233" i="7"/>
  <c r="J233" i="7"/>
  <c r="L233" i="7"/>
  <c r="K233" i="7"/>
  <c r="J227" i="7"/>
  <c r="E20" i="11" l="1"/>
  <c r="I17" i="11"/>
  <c r="I235" i="7"/>
  <c r="I236" i="7" s="1"/>
  <c r="I167" i="7" s="1"/>
  <c r="O290" i="7"/>
  <c r="O132" i="7" s="1"/>
  <c r="P287" i="7" s="1"/>
  <c r="P257" i="7"/>
  <c r="P261" i="7" s="1"/>
  <c r="O119" i="7"/>
  <c r="N252" i="7"/>
  <c r="N264" i="7" s="1"/>
  <c r="N164" i="7" s="1"/>
  <c r="F5" i="11" s="1"/>
  <c r="K235" i="7"/>
  <c r="K236" i="7" s="1"/>
  <c r="K167" i="7" s="1"/>
  <c r="L235" i="7"/>
  <c r="L236" i="7" s="1"/>
  <c r="L167" i="7" s="1"/>
  <c r="J235" i="7"/>
  <c r="J236" i="7" s="1"/>
  <c r="J167" i="7" s="1"/>
  <c r="O291" i="7" l="1"/>
  <c r="P290" i="7"/>
  <c r="P132" i="7" s="1"/>
  <c r="Q287" i="7" s="1"/>
  <c r="Q257" i="7"/>
  <c r="Q261" i="7" s="1"/>
  <c r="Q119" i="7" s="1"/>
  <c r="P119" i="7"/>
  <c r="N255" i="7"/>
  <c r="I90" i="7"/>
  <c r="J90" i="7"/>
  <c r="K90" i="7"/>
  <c r="L90" i="7"/>
  <c r="H90" i="7"/>
  <c r="I66" i="7"/>
  <c r="J66" i="7"/>
  <c r="K66" i="7"/>
  <c r="L66" i="7"/>
  <c r="H66" i="7"/>
  <c r="J13" i="7"/>
  <c r="K13" i="7"/>
  <c r="L13" i="7"/>
  <c r="I13" i="7"/>
  <c r="J11" i="7"/>
  <c r="K11" i="7"/>
  <c r="L11" i="7"/>
  <c r="I11" i="7"/>
  <c r="N27" i="7"/>
  <c r="O27" i="7"/>
  <c r="P27" i="7"/>
  <c r="Q27" i="7"/>
  <c r="M27" i="7"/>
  <c r="N25" i="7"/>
  <c r="O25" i="7"/>
  <c r="P25" i="7"/>
  <c r="Q25" i="7"/>
  <c r="L26" i="7"/>
  <c r="K32" i="7"/>
  <c r="N23" i="7"/>
  <c r="O23" i="7"/>
  <c r="P23" i="7"/>
  <c r="Q23" i="7"/>
  <c r="M23" i="7"/>
  <c r="M22" i="7" s="1"/>
  <c r="N20" i="7"/>
  <c r="O20" i="7"/>
  <c r="P20" i="7"/>
  <c r="Q20" i="7"/>
  <c r="M20" i="7"/>
  <c r="I15" i="7"/>
  <c r="I53" i="7" s="1"/>
  <c r="J15" i="7"/>
  <c r="J53" i="7" s="1"/>
  <c r="K15" i="7"/>
  <c r="L15" i="7"/>
  <c r="L49" i="7" s="1"/>
  <c r="H15" i="7"/>
  <c r="H49" i="7" s="1"/>
  <c r="J26" i="7"/>
  <c r="K26" i="7"/>
  <c r="K21" i="7" s="1"/>
  <c r="L23" i="7"/>
  <c r="K23" i="7"/>
  <c r="L20" i="7"/>
  <c r="K20" i="7"/>
  <c r="M7" i="7"/>
  <c r="B2" i="7"/>
  <c r="L30" i="7" l="1"/>
  <c r="Z26" i="5"/>
  <c r="P291" i="7"/>
  <c r="M19" i="7"/>
  <c r="M26" i="7" s="1"/>
  <c r="M15" i="7" s="1"/>
  <c r="Q290" i="7"/>
  <c r="Q132" i="7" s="1"/>
  <c r="O250" i="7"/>
  <c r="N116" i="7"/>
  <c r="L31" i="7"/>
  <c r="L33" i="7" s="1"/>
  <c r="AA27" i="5" s="1"/>
  <c r="H83" i="7"/>
  <c r="H212" i="7"/>
  <c r="L83" i="7"/>
  <c r="L212" i="7"/>
  <c r="J83" i="7"/>
  <c r="J212" i="7"/>
  <c r="I83" i="7"/>
  <c r="I212" i="7"/>
  <c r="K83" i="7"/>
  <c r="K212" i="7"/>
  <c r="B301" i="7"/>
  <c r="M306" i="7"/>
  <c r="B241" i="7"/>
  <c r="B271" i="7"/>
  <c r="M246" i="7"/>
  <c r="N246" i="7" s="1"/>
  <c r="O246" i="7" s="1"/>
  <c r="P246" i="7" s="1"/>
  <c r="Q246" i="7" s="1"/>
  <c r="M276" i="7"/>
  <c r="B40" i="7"/>
  <c r="B201" i="7"/>
  <c r="M45" i="7"/>
  <c r="L45" i="7" s="1"/>
  <c r="K45" i="7" s="1"/>
  <c r="J45" i="7" s="1"/>
  <c r="I45" i="7" s="1"/>
  <c r="H45" i="7" s="1"/>
  <c r="M206" i="7"/>
  <c r="B155" i="7"/>
  <c r="M160" i="7"/>
  <c r="L160" i="7" s="1"/>
  <c r="K160" i="7" s="1"/>
  <c r="J160" i="7" s="1"/>
  <c r="I160" i="7" s="1"/>
  <c r="H160" i="7" s="1"/>
  <c r="K16" i="7"/>
  <c r="J59" i="7"/>
  <c r="B103" i="7"/>
  <c r="M108" i="7"/>
  <c r="N108" i="7" s="1"/>
  <c r="O108" i="7" s="1"/>
  <c r="P108" i="7" s="1"/>
  <c r="Q108" i="7" s="1"/>
  <c r="H79" i="7"/>
  <c r="W22" i="5" s="1"/>
  <c r="L79" i="7"/>
  <c r="AA22" i="5" s="1"/>
  <c r="K79" i="7"/>
  <c r="J79" i="7"/>
  <c r="I79" i="7"/>
  <c r="I63" i="7"/>
  <c r="I59" i="7"/>
  <c r="M77" i="7"/>
  <c r="L77" i="7" s="1"/>
  <c r="K77" i="7" s="1"/>
  <c r="J77" i="7" s="1"/>
  <c r="I77" i="7" s="1"/>
  <c r="H77" i="7" s="1"/>
  <c r="B72" i="7"/>
  <c r="J63" i="7"/>
  <c r="K61" i="7"/>
  <c r="H59" i="7"/>
  <c r="H63" i="7"/>
  <c r="H61" i="7"/>
  <c r="J61" i="7"/>
  <c r="I61" i="7"/>
  <c r="L59" i="7"/>
  <c r="L63" i="7"/>
  <c r="L61" i="7"/>
  <c r="K59" i="7"/>
  <c r="K63" i="7"/>
  <c r="K51" i="7"/>
  <c r="J51" i="7"/>
  <c r="I51" i="7"/>
  <c r="H53" i="7"/>
  <c r="H51" i="7"/>
  <c r="H80" i="7" s="1"/>
  <c r="H211" i="7" s="1"/>
  <c r="L53" i="7"/>
  <c r="L51" i="7"/>
  <c r="L80" i="7" s="1"/>
  <c r="L211" i="7" s="1"/>
  <c r="K49" i="7"/>
  <c r="K53" i="7"/>
  <c r="J49" i="7"/>
  <c r="I49" i="7"/>
  <c r="J27" i="7"/>
  <c r="I16" i="7"/>
  <c r="L16" i="7"/>
  <c r="L28" i="7"/>
  <c r="J16" i="7"/>
  <c r="K24" i="7"/>
  <c r="N22" i="7"/>
  <c r="L24" i="7"/>
  <c r="L21" i="7"/>
  <c r="L27" i="7"/>
  <c r="K27" i="7"/>
  <c r="K28" i="7"/>
  <c r="K210" i="7" l="1"/>
  <c r="K220" i="7" s="1"/>
  <c r="Z22" i="5"/>
  <c r="AA23" i="5" s="1"/>
  <c r="J210" i="7"/>
  <c r="J220" i="7" s="1"/>
  <c r="Y22" i="5"/>
  <c r="I210" i="7"/>
  <c r="I220" i="7" s="1"/>
  <c r="X22" i="5"/>
  <c r="X23" i="5" s="1"/>
  <c r="N19" i="7"/>
  <c r="O19" i="7" s="1"/>
  <c r="M10" i="7"/>
  <c r="M11" i="7" s="1"/>
  <c r="Q291" i="7"/>
  <c r="O252" i="7"/>
  <c r="O264" i="7" s="1"/>
  <c r="O164" i="7" s="1"/>
  <c r="G5" i="11" s="1"/>
  <c r="M48" i="7"/>
  <c r="M58" i="7"/>
  <c r="M52" i="7"/>
  <c r="M60" i="7"/>
  <c r="M62" i="7"/>
  <c r="M50" i="7"/>
  <c r="M79" i="7"/>
  <c r="AB22" i="5" s="1"/>
  <c r="AB23" i="5" s="1"/>
  <c r="K219" i="7"/>
  <c r="K221" i="7"/>
  <c r="I219" i="7"/>
  <c r="I221" i="7"/>
  <c r="J219" i="7"/>
  <c r="J221" i="7"/>
  <c r="L219" i="7"/>
  <c r="L221" i="7"/>
  <c r="H221" i="7"/>
  <c r="H219" i="7"/>
  <c r="L246" i="7"/>
  <c r="K246" i="7" s="1"/>
  <c r="J246" i="7" s="1"/>
  <c r="I246" i="7" s="1"/>
  <c r="H246" i="7" s="1"/>
  <c r="N306" i="7"/>
  <c r="O306" i="7" s="1"/>
  <c r="P306" i="7" s="1"/>
  <c r="Q306" i="7" s="1"/>
  <c r="L306" i="7"/>
  <c r="K306" i="7" s="1"/>
  <c r="J306" i="7" s="1"/>
  <c r="I306" i="7" s="1"/>
  <c r="H306" i="7" s="1"/>
  <c r="L276" i="7"/>
  <c r="K276" i="7" s="1"/>
  <c r="J276" i="7" s="1"/>
  <c r="I276" i="7" s="1"/>
  <c r="H276" i="7" s="1"/>
  <c r="N276" i="7"/>
  <c r="O276" i="7" s="1"/>
  <c r="P276" i="7" s="1"/>
  <c r="Q276" i="7" s="1"/>
  <c r="N45" i="7"/>
  <c r="O45" i="7" s="1"/>
  <c r="P45" i="7" s="1"/>
  <c r="Q45" i="7" s="1"/>
  <c r="L108" i="7"/>
  <c r="K108" i="7" s="1"/>
  <c r="J108" i="7" s="1"/>
  <c r="I108" i="7" s="1"/>
  <c r="H108" i="7" s="1"/>
  <c r="N160" i="7"/>
  <c r="O160" i="7" s="1"/>
  <c r="P160" i="7" s="1"/>
  <c r="Q160" i="7" s="1"/>
  <c r="N206" i="7"/>
  <c r="M208" i="7"/>
  <c r="L206" i="7"/>
  <c r="H81" i="7"/>
  <c r="H84" i="7" s="1"/>
  <c r="H210" i="7"/>
  <c r="L81" i="7"/>
  <c r="L84" i="7" s="1"/>
  <c r="L210" i="7"/>
  <c r="L220" i="7" s="1"/>
  <c r="N77" i="7"/>
  <c r="O77" i="7" s="1"/>
  <c r="P77" i="7" s="1"/>
  <c r="Q77" i="7" s="1"/>
  <c r="J80" i="7"/>
  <c r="I80" i="7"/>
  <c r="K80" i="7"/>
  <c r="M21" i="7"/>
  <c r="M16" i="7"/>
  <c r="M24" i="7"/>
  <c r="O22" i="7"/>
  <c r="N26" i="7" l="1"/>
  <c r="Y23" i="5"/>
  <c r="Z23" i="5"/>
  <c r="M12" i="7"/>
  <c r="M13" i="7" s="1"/>
  <c r="O255" i="7"/>
  <c r="P250" i="7" s="1"/>
  <c r="M31" i="7"/>
  <c r="M33" i="7" s="1"/>
  <c r="AB27" i="5" s="1"/>
  <c r="M66" i="7"/>
  <c r="M212" i="7" s="1"/>
  <c r="M54" i="7"/>
  <c r="M80" i="7" s="1"/>
  <c r="M211" i="7" s="1"/>
  <c r="M229" i="7" s="1"/>
  <c r="L92" i="7"/>
  <c r="L94" i="7" s="1"/>
  <c r="AA24" i="5" s="1"/>
  <c r="L98" i="7"/>
  <c r="AA28" i="5" s="1"/>
  <c r="H92" i="7"/>
  <c r="H94" i="7" s="1"/>
  <c r="W24" i="5" s="1"/>
  <c r="H98" i="7"/>
  <c r="W28" i="5" s="1"/>
  <c r="M210" i="7"/>
  <c r="M230" i="7" s="1"/>
  <c r="M127" i="7" s="1"/>
  <c r="H220" i="7"/>
  <c r="K206" i="7"/>
  <c r="L208" i="7"/>
  <c r="K81" i="7"/>
  <c r="K84" i="7" s="1"/>
  <c r="K211" i="7"/>
  <c r="O206" i="7"/>
  <c r="N208" i="7"/>
  <c r="I81" i="7"/>
  <c r="I84" i="7" s="1"/>
  <c r="I211" i="7"/>
  <c r="J81" i="7"/>
  <c r="J84" i="7" s="1"/>
  <c r="J211" i="7"/>
  <c r="N28" i="7"/>
  <c r="N15" i="7"/>
  <c r="N24" i="7"/>
  <c r="P22" i="7"/>
  <c r="O26" i="7"/>
  <c r="O21" i="7" s="1"/>
  <c r="N21" i="7"/>
  <c r="P19" i="7"/>
  <c r="P252" i="7" l="1"/>
  <c r="P264" i="7" s="1"/>
  <c r="P164" i="7" s="1"/>
  <c r="H5" i="11" s="1"/>
  <c r="P255" i="7"/>
  <c r="M32" i="7"/>
  <c r="O116" i="7"/>
  <c r="N10" i="7"/>
  <c r="N11" i="7" s="1"/>
  <c r="M83" i="7"/>
  <c r="L99" i="7"/>
  <c r="AA29" i="5" s="1"/>
  <c r="Q250" i="7"/>
  <c r="Q252" i="7" s="1"/>
  <c r="Q255" i="7" s="1"/>
  <c r="Q116" i="7" s="1"/>
  <c r="P116" i="7"/>
  <c r="L163" i="7"/>
  <c r="L170" i="7" s="1"/>
  <c r="L191" i="7" s="1"/>
  <c r="L311" i="7"/>
  <c r="L315" i="7" s="1"/>
  <c r="M125" i="7"/>
  <c r="M224" i="7"/>
  <c r="L215" i="7"/>
  <c r="L216" i="7"/>
  <c r="M231" i="7"/>
  <c r="M130" i="7" s="1"/>
  <c r="M225" i="7"/>
  <c r="M114" i="7" s="1"/>
  <c r="N79" i="7"/>
  <c r="N50" i="7"/>
  <c r="N62" i="7"/>
  <c r="N58" i="7"/>
  <c r="N52" i="7"/>
  <c r="N48" i="7"/>
  <c r="N60" i="7"/>
  <c r="M81" i="7"/>
  <c r="J92" i="7"/>
  <c r="J94" i="7" s="1"/>
  <c r="Y24" i="5" s="1"/>
  <c r="J98" i="7"/>
  <c r="Y28" i="5" s="1"/>
  <c r="I92" i="7"/>
  <c r="I311" i="7" s="1"/>
  <c r="I315" i="7" s="1"/>
  <c r="I98" i="7"/>
  <c r="X28" i="5" s="1"/>
  <c r="K92" i="7"/>
  <c r="K311" i="7" s="1"/>
  <c r="K315" i="7" s="1"/>
  <c r="K98" i="7"/>
  <c r="Z28" i="5" s="1"/>
  <c r="H311" i="7"/>
  <c r="H315" i="7" s="1"/>
  <c r="H163" i="7"/>
  <c r="H170" i="7" s="1"/>
  <c r="H191" i="7" s="1"/>
  <c r="H99" i="7"/>
  <c r="W29" i="5" s="1"/>
  <c r="P206" i="7"/>
  <c r="O208" i="7"/>
  <c r="J206" i="7"/>
  <c r="K208" i="7"/>
  <c r="K215" i="7" s="1"/>
  <c r="N16" i="7"/>
  <c r="O28" i="7"/>
  <c r="O15" i="7"/>
  <c r="Q19" i="7"/>
  <c r="Q22" i="7"/>
  <c r="P26" i="7"/>
  <c r="O24" i="7"/>
  <c r="M28" i="7"/>
  <c r="N7" i="7"/>
  <c r="O7" i="7" s="1"/>
  <c r="P7" i="7" s="1"/>
  <c r="Q7" i="7" s="1"/>
  <c r="L7" i="7"/>
  <c r="K7" i="7" s="1"/>
  <c r="J7" i="7" s="1"/>
  <c r="I7" i="7" s="1"/>
  <c r="H7" i="7" s="1"/>
  <c r="N30" i="7" l="1"/>
  <c r="N31" i="7" s="1"/>
  <c r="N32" i="7" s="1"/>
  <c r="AB26" i="5"/>
  <c r="N210" i="7"/>
  <c r="N230" i="7" s="1"/>
  <c r="N127" i="7" s="1"/>
  <c r="AC22" i="5"/>
  <c r="AC23" i="5" s="1"/>
  <c r="M84" i="7"/>
  <c r="M98" i="7" s="1"/>
  <c r="AB28" i="5" s="1"/>
  <c r="O10" i="7"/>
  <c r="O11" i="7" s="1"/>
  <c r="N12" i="7"/>
  <c r="N13" i="7" s="1"/>
  <c r="N33" i="7"/>
  <c r="AC27" i="5" s="1"/>
  <c r="Q264" i="7"/>
  <c r="Q164" i="7" s="1"/>
  <c r="I5" i="11" s="1"/>
  <c r="I94" i="7"/>
  <c r="I163" i="7" s="1"/>
  <c r="I170" i="7" s="1"/>
  <c r="I191" i="7" s="1"/>
  <c r="I192" i="7" s="1"/>
  <c r="J190" i="7" s="1"/>
  <c r="J311" i="7"/>
  <c r="J315" i="7" s="1"/>
  <c r="M113" i="7"/>
  <c r="M226" i="7"/>
  <c r="M227" i="7" s="1"/>
  <c r="M232" i="7"/>
  <c r="M233" i="7" s="1"/>
  <c r="M131" i="7"/>
  <c r="M137" i="7" s="1"/>
  <c r="O79" i="7"/>
  <c r="O48" i="7"/>
  <c r="O60" i="7"/>
  <c r="O52" i="7"/>
  <c r="O58" i="7"/>
  <c r="O62" i="7"/>
  <c r="O50" i="7"/>
  <c r="N54" i="7"/>
  <c r="N80" i="7" s="1"/>
  <c r="N66" i="7"/>
  <c r="K94" i="7"/>
  <c r="Z24" i="5" s="1"/>
  <c r="J163" i="7"/>
  <c r="J170" i="7" s="1"/>
  <c r="J191" i="7" s="1"/>
  <c r="J99" i="7"/>
  <c r="Y29" i="5" s="1"/>
  <c r="K216" i="7"/>
  <c r="I206" i="7"/>
  <c r="J208" i="7"/>
  <c r="Q206" i="7"/>
  <c r="Q208" i="7" s="1"/>
  <c r="P208" i="7"/>
  <c r="O16" i="7"/>
  <c r="P28" i="7"/>
  <c r="P15" i="7"/>
  <c r="P24" i="7"/>
  <c r="Q26" i="7"/>
  <c r="Q21" i="7" s="1"/>
  <c r="P21" i="7"/>
  <c r="N224" i="7" l="1"/>
  <c r="N113" i="7" s="1"/>
  <c r="I95" i="7"/>
  <c r="X25" i="5" s="1"/>
  <c r="X24" i="5"/>
  <c r="I99" i="7"/>
  <c r="X29" i="5" s="1"/>
  <c r="E4" i="11"/>
  <c r="E7" i="11" s="1"/>
  <c r="O210" i="7"/>
  <c r="O230" i="7" s="1"/>
  <c r="O127" i="7" s="1"/>
  <c r="AD22" i="5"/>
  <c r="AD23" i="5" s="1"/>
  <c r="O30" i="7"/>
  <c r="O31" i="7" s="1"/>
  <c r="O32" i="7" s="1"/>
  <c r="AC26" i="5"/>
  <c r="P10" i="7"/>
  <c r="P11" i="7" s="1"/>
  <c r="O12" i="7"/>
  <c r="O13" i="7" s="1"/>
  <c r="K163" i="7"/>
  <c r="K170" i="7" s="1"/>
  <c r="K191" i="7" s="1"/>
  <c r="K95" i="7"/>
  <c r="Z25" i="5" s="1"/>
  <c r="L95" i="7"/>
  <c r="AA25" i="5" s="1"/>
  <c r="J95" i="7"/>
  <c r="Y25" i="5" s="1"/>
  <c r="M236" i="7"/>
  <c r="K99" i="7"/>
  <c r="Z29" i="5" s="1"/>
  <c r="J192" i="7"/>
  <c r="K190" i="7" s="1"/>
  <c r="O66" i="7"/>
  <c r="O83" i="7" s="1"/>
  <c r="N83" i="7"/>
  <c r="N212" i="7"/>
  <c r="N81" i="7"/>
  <c r="N211" i="7"/>
  <c r="N229" i="7" s="1"/>
  <c r="O54" i="7"/>
  <c r="O80" i="7" s="1"/>
  <c r="P79" i="7"/>
  <c r="P52" i="7"/>
  <c r="P48" i="7"/>
  <c r="P50" i="7"/>
  <c r="P58" i="7"/>
  <c r="P62" i="7"/>
  <c r="P60" i="7"/>
  <c r="J215" i="7"/>
  <c r="J216" i="7"/>
  <c r="H206" i="7"/>
  <c r="H208" i="7" s="1"/>
  <c r="I208" i="7"/>
  <c r="P16" i="7"/>
  <c r="Q28" i="7"/>
  <c r="Q15" i="7"/>
  <c r="Q24" i="7"/>
  <c r="E6" i="11" l="1"/>
  <c r="E16" i="11" s="1"/>
  <c r="E17" i="11" s="1"/>
  <c r="O224" i="7"/>
  <c r="O33" i="7"/>
  <c r="AD27" i="5" s="1"/>
  <c r="P210" i="7"/>
  <c r="P230" i="7" s="1"/>
  <c r="P127" i="7" s="1"/>
  <c r="AE22" i="5"/>
  <c r="AE23" i="5" s="1"/>
  <c r="P30" i="7"/>
  <c r="P31" i="7" s="1"/>
  <c r="P33" i="7" s="1"/>
  <c r="AE27" i="5" s="1"/>
  <c r="AD26" i="5"/>
  <c r="K192" i="7"/>
  <c r="L190" i="7" s="1"/>
  <c r="L192" i="7" s="1"/>
  <c r="M190" i="7" s="1"/>
  <c r="Q10" i="7"/>
  <c r="Q11" i="7" s="1"/>
  <c r="P32" i="7"/>
  <c r="P12" i="7"/>
  <c r="P13" i="7" s="1"/>
  <c r="M167" i="7"/>
  <c r="E9" i="11"/>
  <c r="E10" i="11" s="1"/>
  <c r="E11" i="11" s="1"/>
  <c r="N84" i="7"/>
  <c r="O212" i="7"/>
  <c r="O231" i="7" s="1"/>
  <c r="O130" i="7" s="1"/>
  <c r="N125" i="7"/>
  <c r="P66" i="7"/>
  <c r="P224" i="7"/>
  <c r="N231" i="7"/>
  <c r="N130" i="7" s="1"/>
  <c r="N225" i="7"/>
  <c r="O81" i="7"/>
  <c r="O84" i="7" s="1"/>
  <c r="O211" i="7"/>
  <c r="O229" i="7" s="1"/>
  <c r="O125" i="7" s="1"/>
  <c r="O113" i="7"/>
  <c r="Q79" i="7"/>
  <c r="Q48" i="7"/>
  <c r="Q52" i="7"/>
  <c r="Q62" i="7"/>
  <c r="Q50" i="7"/>
  <c r="Q58" i="7"/>
  <c r="Q60" i="7"/>
  <c r="P54" i="7"/>
  <c r="P80" i="7" s="1"/>
  <c r="I215" i="7"/>
  <c r="I216" i="7"/>
  <c r="H216" i="7"/>
  <c r="H215" i="7"/>
  <c r="Q16" i="7"/>
  <c r="M280" i="7" l="1"/>
  <c r="M282" i="7" s="1"/>
  <c r="M293" i="7" s="1"/>
  <c r="Q30" i="7"/>
  <c r="Q31" i="7" s="1"/>
  <c r="Q33" i="7" s="1"/>
  <c r="AF27" i="5" s="1"/>
  <c r="AE26" i="5"/>
  <c r="Q210" i="7"/>
  <c r="AF22" i="5"/>
  <c r="AF23" i="5" s="1"/>
  <c r="Q32" i="7"/>
  <c r="AF26" i="5" s="1"/>
  <c r="Q12" i="7"/>
  <c r="Q13" i="7" s="1"/>
  <c r="N98" i="7"/>
  <c r="AC28" i="5" s="1"/>
  <c r="F4" i="11"/>
  <c r="O131" i="7"/>
  <c r="O137" i="7" s="1"/>
  <c r="O98" i="7"/>
  <c r="AD28" i="5" s="1"/>
  <c r="G4" i="11"/>
  <c r="M87" i="7"/>
  <c r="O225" i="7"/>
  <c r="O114" i="7" s="1"/>
  <c r="O232" i="7"/>
  <c r="Q230" i="7"/>
  <c r="Q127" i="7" s="1"/>
  <c r="Q224" i="7"/>
  <c r="Q66" i="7"/>
  <c r="N114" i="7"/>
  <c r="N226" i="7"/>
  <c r="N227" i="7" s="1"/>
  <c r="P113" i="7"/>
  <c r="P212" i="7"/>
  <c r="P83" i="7"/>
  <c r="N131" i="7"/>
  <c r="N137" i="7" s="1"/>
  <c r="P81" i="7"/>
  <c r="P211" i="7"/>
  <c r="P229" i="7" s="1"/>
  <c r="P125" i="7" s="1"/>
  <c r="N232" i="7"/>
  <c r="N233" i="7" s="1"/>
  <c r="Q54" i="7"/>
  <c r="Q80" i="7" s="1"/>
  <c r="O226" i="7" l="1"/>
  <c r="O227" i="7" s="1"/>
  <c r="F7" i="11"/>
  <c r="F6" i="11"/>
  <c r="G7" i="11"/>
  <c r="G6" i="11"/>
  <c r="M90" i="7"/>
  <c r="P84" i="7"/>
  <c r="P231" i="7"/>
  <c r="P130" i="7" s="1"/>
  <c r="P131" i="7" s="1"/>
  <c r="P137" i="7" s="1"/>
  <c r="P225" i="7"/>
  <c r="Q81" i="7"/>
  <c r="Q211" i="7"/>
  <c r="Q229" i="7" s="1"/>
  <c r="Q125" i="7" s="1"/>
  <c r="Q212" i="7"/>
  <c r="Q83" i="7"/>
  <c r="O233" i="7"/>
  <c r="N236" i="7"/>
  <c r="Q113" i="7"/>
  <c r="P98" i="7" l="1"/>
  <c r="AE28" i="5" s="1"/>
  <c r="H4" i="11"/>
  <c r="M92" i="7"/>
  <c r="M311" i="7" s="1"/>
  <c r="M313" i="7" s="1"/>
  <c r="N167" i="7"/>
  <c r="F9" i="11"/>
  <c r="F10" i="11" s="1"/>
  <c r="F11" i="11" s="1"/>
  <c r="O236" i="7"/>
  <c r="P232" i="7"/>
  <c r="P233" i="7" s="1"/>
  <c r="Q225" i="7"/>
  <c r="Q231" i="7"/>
  <c r="Q84" i="7"/>
  <c r="P114" i="7"/>
  <c r="P226" i="7"/>
  <c r="P227" i="7" s="1"/>
  <c r="O167" i="7" l="1"/>
  <c r="G9" i="11"/>
  <c r="G10" i="11" s="1"/>
  <c r="G11" i="11" s="1"/>
  <c r="Q98" i="7"/>
  <c r="AF28" i="5" s="1"/>
  <c r="I4" i="11"/>
  <c r="M314" i="7"/>
  <c r="M166" i="7" s="1"/>
  <c r="H7" i="11"/>
  <c r="H6" i="11"/>
  <c r="P236" i="7"/>
  <c r="Q232" i="7"/>
  <c r="Q233" i="7" s="1"/>
  <c r="Q130" i="7"/>
  <c r="Q131" i="7" s="1"/>
  <c r="Q137" i="7" s="1"/>
  <c r="M93" i="7"/>
  <c r="M94" i="7" s="1"/>
  <c r="AB24" i="5" s="1"/>
  <c r="Q114" i="7"/>
  <c r="Q226" i="7"/>
  <c r="Q227" i="7" s="1"/>
  <c r="M178" i="7"/>
  <c r="M95" i="7" l="1"/>
  <c r="AB25" i="5" s="1"/>
  <c r="M163" i="7"/>
  <c r="M141" i="7" s="1"/>
  <c r="M318" i="7"/>
  <c r="I7" i="11"/>
  <c r="I6" i="11"/>
  <c r="P167" i="7"/>
  <c r="H9" i="11"/>
  <c r="H10" i="11" s="1"/>
  <c r="H11" i="11" s="1"/>
  <c r="Q236" i="7"/>
  <c r="M120" i="7"/>
  <c r="Q167" i="7" l="1"/>
  <c r="I9" i="11"/>
  <c r="I10" i="11" s="1"/>
  <c r="M144" i="7"/>
  <c r="M170" i="7"/>
  <c r="M191" i="7" s="1"/>
  <c r="M192" i="7" s="1"/>
  <c r="I11" i="11" l="1"/>
  <c r="I12" i="11" s="1"/>
  <c r="E18" i="11" s="1"/>
  <c r="D29" i="11" s="1"/>
  <c r="M111" i="7"/>
  <c r="N280" i="7"/>
  <c r="N282" i="7" s="1"/>
  <c r="N293" i="7" s="1"/>
  <c r="N87" i="7" s="1"/>
  <c r="N90" i="7" s="1"/>
  <c r="N92" i="7" s="1"/>
  <c r="N311" i="7" s="1"/>
  <c r="N190" i="7"/>
  <c r="M146" i="7"/>
  <c r="M99" i="7"/>
  <c r="AB29" i="5" s="1"/>
  <c r="M115" i="7" l="1"/>
  <c r="M122" i="7" s="1"/>
  <c r="M148" i="7" s="1"/>
  <c r="N9" i="11"/>
  <c r="N313" i="7"/>
  <c r="N93" i="7" s="1"/>
  <c r="N94" i="7" s="1"/>
  <c r="AC24" i="5" s="1"/>
  <c r="N314" i="7"/>
  <c r="E19" i="11" l="1"/>
  <c r="E21" i="11" s="1"/>
  <c r="E23" i="11" s="1"/>
  <c r="I18" i="11"/>
  <c r="I19" i="11" s="1"/>
  <c r="N163" i="7"/>
  <c r="N141" i="7" s="1"/>
  <c r="N95" i="7"/>
  <c r="AC25" i="5" s="1"/>
  <c r="N318" i="7"/>
  <c r="N166" i="7"/>
  <c r="N120" i="7"/>
  <c r="D38" i="11" l="1"/>
  <c r="W31" i="5"/>
  <c r="N170" i="7"/>
  <c r="N191" i="7" s="1"/>
  <c r="N192" i="7" s="1"/>
  <c r="O190" i="7" s="1"/>
  <c r="N144" i="7"/>
  <c r="N146" i="7" s="1"/>
  <c r="I24" i="11" l="1"/>
  <c r="I23" i="11" s="1"/>
  <c r="E24" i="11"/>
  <c r="N99" i="7"/>
  <c r="AC29" i="5" s="1"/>
  <c r="N111" i="7"/>
  <c r="N115" i="7" s="1"/>
  <c r="N122" i="7" s="1"/>
  <c r="N148" i="7" s="1"/>
  <c r="O280" i="7"/>
  <c r="O282" i="7" s="1"/>
  <c r="O293" i="7" s="1"/>
  <c r="O87" i="7" s="1"/>
  <c r="O90" i="7" s="1"/>
  <c r="O92" i="7" s="1"/>
  <c r="O311" i="7" s="1"/>
  <c r="O313" i="7" l="1"/>
  <c r="O93" i="7" s="1"/>
  <c r="O94" i="7" s="1"/>
  <c r="AD24" i="5" s="1"/>
  <c r="O314" i="7"/>
  <c r="O163" i="7" l="1"/>
  <c r="O95" i="7"/>
  <c r="AD25" i="5" s="1"/>
  <c r="O166" i="7"/>
  <c r="O120" i="7"/>
  <c r="O318" i="7"/>
  <c r="O170" i="7" l="1"/>
  <c r="O191" i="7" s="1"/>
  <c r="O192" i="7" s="1"/>
  <c r="P190" i="7" s="1"/>
  <c r="O141" i="7"/>
  <c r="O111" i="7" l="1"/>
  <c r="O115" i="7" s="1"/>
  <c r="O122" i="7" s="1"/>
  <c r="P280" i="7"/>
  <c r="P282" i="7" s="1"/>
  <c r="P293" i="7" s="1"/>
  <c r="P87" i="7" s="1"/>
  <c r="P90" i="7" s="1"/>
  <c r="P92" i="7" s="1"/>
  <c r="P311" i="7" s="1"/>
  <c r="O144" i="7"/>
  <c r="O146" i="7" l="1"/>
  <c r="O148" i="7" s="1"/>
  <c r="O99" i="7"/>
  <c r="AD29" i="5" s="1"/>
  <c r="P314" i="7"/>
  <c r="P313" i="7"/>
  <c r="P318" i="7" l="1"/>
  <c r="P93" i="7"/>
  <c r="P94" i="7" s="1"/>
  <c r="P166" i="7"/>
  <c r="P120" i="7"/>
  <c r="P95" i="7" l="1"/>
  <c r="AE25" i="5" s="1"/>
  <c r="AE24" i="5"/>
  <c r="P163" i="7"/>
  <c r="P141" i="7" l="1"/>
  <c r="P170" i="7"/>
  <c r="P191" i="7" s="1"/>
  <c r="P192" i="7" s="1"/>
  <c r="P144" i="7" l="1"/>
  <c r="Q280" i="7"/>
  <c r="Q282" i="7" s="1"/>
  <c r="Q293" i="7" s="1"/>
  <c r="Q87" i="7" s="1"/>
  <c r="Q90" i="7" s="1"/>
  <c r="Q92" i="7" s="1"/>
  <c r="P111" i="7"/>
  <c r="P115" i="7" s="1"/>
  <c r="P122" i="7" s="1"/>
  <c r="Q190" i="7"/>
  <c r="P146" i="7" l="1"/>
  <c r="P148" i="7" s="1"/>
  <c r="P99" i="7"/>
  <c r="AE29" i="5" s="1"/>
  <c r="Q311" i="7"/>
  <c r="Q313" i="7" l="1"/>
  <c r="Q314" i="7"/>
  <c r="Q166" i="7" l="1"/>
  <c r="Q120" i="7"/>
  <c r="Q93" i="7"/>
  <c r="Q94" i="7" s="1"/>
  <c r="Q318" i="7"/>
  <c r="Q95" i="7" l="1"/>
  <c r="AF25" i="5" s="1"/>
  <c r="AF24" i="5"/>
  <c r="Q163" i="7"/>
  <c r="Q141" i="7" l="1"/>
  <c r="Q144" i="7" s="1"/>
  <c r="Q170" i="7"/>
  <c r="Q191" i="7" s="1"/>
  <c r="Q192" i="7" s="1"/>
  <c r="Q111" i="7" s="1"/>
  <c r="Q115" i="7" s="1"/>
  <c r="Q122" i="7" s="1"/>
  <c r="Q146" i="7" l="1"/>
  <c r="Q148" i="7" s="1"/>
  <c r="Q99" i="7"/>
  <c r="AF29" i="5" s="1"/>
</calcChain>
</file>

<file path=xl/sharedStrings.xml><?xml version="1.0" encoding="utf-8"?>
<sst xmlns="http://schemas.openxmlformats.org/spreadsheetml/2006/main" count="402" uniqueCount="262">
  <si>
    <t>Discount Rate(WACC)</t>
  </si>
  <si>
    <t>First year of forcast in financial model</t>
  </si>
  <si>
    <t>Date of modeling</t>
  </si>
  <si>
    <t>Name</t>
  </si>
  <si>
    <t>Note: This model is created strictly for educational and portfolio demonstration purposes. It does not constitute investment advice or an offer to buy/sell any financial instruments.</t>
  </si>
  <si>
    <t>Digital Experience</t>
  </si>
  <si>
    <t>($ MM)</t>
  </si>
  <si>
    <t>Projected</t>
  </si>
  <si>
    <t>Subscription Revenue</t>
  </si>
  <si>
    <t>Publishing and Advertising</t>
  </si>
  <si>
    <t>Total Subscription Revenue</t>
  </si>
  <si>
    <t>Total Revenue</t>
  </si>
  <si>
    <t>YoY Growth</t>
  </si>
  <si>
    <t>Adobe Inc.</t>
  </si>
  <si>
    <t>Revenue Schedule</t>
  </si>
  <si>
    <t>Scenarios</t>
  </si>
  <si>
    <t>Scenario Switch:</t>
  </si>
  <si>
    <t>Cost of Revenue</t>
  </si>
  <si>
    <t>Subscription</t>
  </si>
  <si>
    <t>Product</t>
  </si>
  <si>
    <t>Services and Other</t>
  </si>
  <si>
    <t>Operating Expenses</t>
  </si>
  <si>
    <t>Research and Development</t>
  </si>
  <si>
    <t>Sales and Marketing</t>
  </si>
  <si>
    <t>General and Administrative</t>
  </si>
  <si>
    <t>Total Operating Expenses</t>
  </si>
  <si>
    <t>Interest Expense</t>
  </si>
  <si>
    <t>Income Statement</t>
  </si>
  <si>
    <t>Total Cost of Revenue</t>
  </si>
  <si>
    <t>Gross Profit</t>
  </si>
  <si>
    <t>Non-Operating Income (Expense)</t>
  </si>
  <si>
    <t>Total Non-Operating Income (Expense)</t>
  </si>
  <si>
    <t>EBIT</t>
  </si>
  <si>
    <t>EBT</t>
  </si>
  <si>
    <t>Net Income</t>
  </si>
  <si>
    <t>EBITDA</t>
  </si>
  <si>
    <t>Cash Flow Statement</t>
  </si>
  <si>
    <t>Working Capital Schedule</t>
  </si>
  <si>
    <t>Days per Year</t>
  </si>
  <si>
    <t>(days)</t>
  </si>
  <si>
    <t>Days in</t>
  </si>
  <si>
    <t>Accounts Receivable</t>
  </si>
  <si>
    <t>Accounts Payable</t>
  </si>
  <si>
    <t>Driver Ratios</t>
  </si>
  <si>
    <t>Account Balances</t>
  </si>
  <si>
    <t>Balance Sheet</t>
  </si>
  <si>
    <t>Assets</t>
  </si>
  <si>
    <t>Cash and Cash Equivalents</t>
  </si>
  <si>
    <t>Total Current Assets</t>
  </si>
  <si>
    <t>PP&amp;E</t>
  </si>
  <si>
    <t>Goodwill</t>
  </si>
  <si>
    <t>Total Assets</t>
  </si>
  <si>
    <t>Prepaid Expenses &amp; Other Current Assets</t>
  </si>
  <si>
    <t>Margins</t>
  </si>
  <si>
    <t>EBIT Margin</t>
  </si>
  <si>
    <t>Return on Equity</t>
  </si>
  <si>
    <t>Short-Term Debt</t>
  </si>
  <si>
    <t>Total Current Liabilities</t>
  </si>
  <si>
    <t>Long-Term Debt</t>
  </si>
  <si>
    <t>Total Liabilities</t>
  </si>
  <si>
    <t>Retained Earnings</t>
  </si>
  <si>
    <t>AOCI</t>
  </si>
  <si>
    <t>Treasury Stock</t>
  </si>
  <si>
    <t>Total Liabilities and Shareholders' Equity</t>
  </si>
  <si>
    <t>Operating Activities</t>
  </si>
  <si>
    <t>Total Operating Assets</t>
  </si>
  <si>
    <t>Total Operating Liabilities</t>
  </si>
  <si>
    <t>Total Shareholders' Equity</t>
  </si>
  <si>
    <t>Effective Corporate Tax Rate</t>
  </si>
  <si>
    <t>Stock-Based Compensation</t>
  </si>
  <si>
    <t>Changes in Working Capital</t>
  </si>
  <si>
    <t>Investing Activities</t>
  </si>
  <si>
    <t>Financing Cash Flow</t>
  </si>
  <si>
    <t>Beginning Cash</t>
  </si>
  <si>
    <t>Ending Cash</t>
  </si>
  <si>
    <t>Income Taxes Payable</t>
  </si>
  <si>
    <t>Deferred Income Taxes</t>
  </si>
  <si>
    <t>Price</t>
  </si>
  <si>
    <t>Other Assumptions</t>
  </si>
  <si>
    <t>October 2026</t>
  </si>
  <si>
    <t>Effect of Foreign Currency</t>
  </si>
  <si>
    <t>Days In</t>
  </si>
  <si>
    <t>Changes in Operating Assets</t>
  </si>
  <si>
    <t>Changes in Operating Liabilities</t>
  </si>
  <si>
    <t>Other Investing Activities</t>
  </si>
  <si>
    <t>Depreciation &amp; Amortization Schedule</t>
  </si>
  <si>
    <t>% of  Total PP&amp;E</t>
  </si>
  <si>
    <t>Method: Straight-line</t>
  </si>
  <si>
    <t>PP&amp;E, Begin</t>
  </si>
  <si>
    <t>PP&amp;E, End</t>
  </si>
  <si>
    <t>Adjustments</t>
  </si>
  <si>
    <t>Changes in Short-term Investments</t>
  </si>
  <si>
    <t>Add: Acquisitions</t>
  </si>
  <si>
    <t>Other Intangibles, End</t>
  </si>
  <si>
    <t>Other Intangibles, Begin</t>
  </si>
  <si>
    <t>Acquisitions</t>
  </si>
  <si>
    <t>Digital Media</t>
  </si>
  <si>
    <t>% of Total Revenue</t>
  </si>
  <si>
    <t>Revenue, by Segment</t>
  </si>
  <si>
    <t>Creative &amp; Marketing Professionals, DM &amp; DX</t>
  </si>
  <si>
    <t>Business Professionals &amp; Consumers, DM&amp;DX</t>
  </si>
  <si>
    <t>Add: Net New ARR</t>
  </si>
  <si>
    <t>% of Subscription Revenue</t>
  </si>
  <si>
    <t>Beginning Total ARR</t>
  </si>
  <si>
    <t>Ending Total ARR</t>
  </si>
  <si>
    <t>Total Subscription Revenue, % of Total Revenue</t>
  </si>
  <si>
    <t>Digital Media, % of Total Revenue</t>
  </si>
  <si>
    <t>Cost and Expense Schedule</t>
  </si>
  <si>
    <t>Other Operating Expenses*</t>
  </si>
  <si>
    <t>Investment Gains (Losses), Net</t>
  </si>
  <si>
    <t>Other Income (Expense), Net</t>
  </si>
  <si>
    <t>Provision for Income Taxes</t>
  </si>
  <si>
    <t>Accounts Receivable*</t>
  </si>
  <si>
    <t>Other Intangibles, Net</t>
  </si>
  <si>
    <t>Other Assets</t>
  </si>
  <si>
    <t>Liabilities</t>
  </si>
  <si>
    <t>Accouts Payables</t>
  </si>
  <si>
    <t>Deferred Revenue</t>
  </si>
  <si>
    <t>Accrued Expenses and Other Current Liabilities</t>
  </si>
  <si>
    <t>Deferred Revenue, Current</t>
  </si>
  <si>
    <t>Income Taxes Payable, Long-Term</t>
  </si>
  <si>
    <t>Deferred Revenue, Long-Term</t>
  </si>
  <si>
    <t>Short-Term Investments</t>
  </si>
  <si>
    <t>Operating Lease Right-of-Use Assets, Net</t>
  </si>
  <si>
    <t>Operating Lease Liabilities, Long-Term</t>
  </si>
  <si>
    <t>Operating Lease Liabilities, Short-Term</t>
  </si>
  <si>
    <t>Income Taxes Payable, Short Term</t>
  </si>
  <si>
    <t>Other Liabilities</t>
  </si>
  <si>
    <t>Shareholders' Equity</t>
  </si>
  <si>
    <t>Other Adjustments*</t>
  </si>
  <si>
    <t>Amortization of Intangibles</t>
  </si>
  <si>
    <t>Check</t>
  </si>
  <si>
    <t>Deferred Revenue, % of Revenue</t>
  </si>
  <si>
    <t>Total Operating Cash Flow</t>
  </si>
  <si>
    <t>Purchases of property and equipment </t>
  </si>
  <si>
    <t>Changes in Short-Term Investments*</t>
  </si>
  <si>
    <t>Purchases of Other Assets*</t>
  </si>
  <si>
    <t>Total Investing Cash Flow</t>
  </si>
  <si>
    <t>Repurchases of Common Stock</t>
  </si>
  <si>
    <t>Repayment of Debt</t>
  </si>
  <si>
    <t>Proceeds from Issuance of Debt</t>
  </si>
  <si>
    <t>Adjustments in Common Stock</t>
  </si>
  <si>
    <t>Adjustments in Common Stock*</t>
  </si>
  <si>
    <t>Other financing activities</t>
  </si>
  <si>
    <t>Total Financing Cash Flow</t>
  </si>
  <si>
    <t>Changes in Cash Position</t>
  </si>
  <si>
    <t>Depreciation, Amortization, and Accretion</t>
  </si>
  <si>
    <r>
      <t xml:space="preserve">* </t>
    </r>
    <r>
      <rPr>
        <i/>
        <sz val="10"/>
        <color theme="1"/>
        <rFont val="Aptos Narrow"/>
        <scheme val="minor"/>
      </rPr>
      <t>Changes in Short-Term Investments</t>
    </r>
    <r>
      <rPr>
        <sz val="10"/>
        <color theme="1"/>
        <rFont val="Aptos Narrow"/>
        <scheme val="minor"/>
      </rPr>
      <t xml:space="preserve"> inculdes Purchases of short-term investments, Maturities of short-term investments, and Proceeds from sales of short-term investments.</t>
    </r>
  </si>
  <si>
    <r>
      <t xml:space="preserve">* </t>
    </r>
    <r>
      <rPr>
        <i/>
        <sz val="10"/>
        <color theme="1"/>
        <rFont val="Aptos Narrow"/>
        <scheme val="minor"/>
      </rPr>
      <t>Purchases of Other Assets</t>
    </r>
    <r>
      <rPr>
        <sz val="10"/>
        <color theme="1"/>
        <rFont val="Aptos Narrow"/>
        <scheme val="minor"/>
      </rPr>
      <t xml:space="preserve"> is named as </t>
    </r>
    <r>
      <rPr>
        <i/>
        <sz val="10"/>
        <color theme="1"/>
        <rFont val="Aptos Narrow"/>
        <scheme val="minor"/>
      </rPr>
      <t xml:space="preserve">Purchases of long-term investments, intangibles and other assets </t>
    </r>
    <r>
      <rPr>
        <sz val="10"/>
        <color theme="1"/>
        <rFont val="Aptos Narrow"/>
        <scheme val="minor"/>
      </rPr>
      <t>in original financial reports.</t>
    </r>
  </si>
  <si>
    <t>Add: Purchases</t>
  </si>
  <si>
    <t>Additional Paid-in-Capital</t>
  </si>
  <si>
    <r>
      <t>*</t>
    </r>
    <r>
      <rPr>
        <i/>
        <sz val="10"/>
        <color theme="1"/>
        <rFont val="Aptos Narrow"/>
        <scheme val="minor"/>
      </rPr>
      <t xml:space="preserve">Accounts Receivable </t>
    </r>
    <r>
      <rPr>
        <sz val="10"/>
        <color theme="1"/>
        <rFont val="Aptos Narrow"/>
        <scheme val="minor"/>
      </rPr>
      <t>is net of allowace for doubtful accounts.</t>
    </r>
  </si>
  <si>
    <t>Effective Tax Rate</t>
  </si>
  <si>
    <t>Income Tax Schedule</t>
  </si>
  <si>
    <t>Changes in Income Taxes Payable</t>
  </si>
  <si>
    <t>% of EBT</t>
  </si>
  <si>
    <r>
      <t xml:space="preserve">* </t>
    </r>
    <r>
      <rPr>
        <i/>
        <sz val="10"/>
        <color theme="1"/>
        <rFont val="Aptos Narrow"/>
        <scheme val="minor"/>
      </rPr>
      <t>Other Adjustments</t>
    </r>
    <r>
      <rPr>
        <sz val="10"/>
        <color theme="1"/>
        <rFont val="Aptos Narrow"/>
        <scheme val="minor"/>
      </rPr>
      <t xml:space="preserve"> includes Lease-related asset impairments, Unralized losses (gains) on investments, and Other non-cash items.</t>
    </r>
  </si>
  <si>
    <t>Debt and Interest Schedule</t>
  </si>
  <si>
    <t>Cash</t>
  </si>
  <si>
    <t>Cash, Begin</t>
  </si>
  <si>
    <t>Interest Rate</t>
  </si>
  <si>
    <t>Annual Interest Income</t>
  </si>
  <si>
    <t>Adjustments*</t>
  </si>
  <si>
    <t>Debt</t>
  </si>
  <si>
    <t>Effective Interest Rate</t>
  </si>
  <si>
    <t>Annual Interest Expense</t>
  </si>
  <si>
    <t>Net Interest Expense</t>
  </si>
  <si>
    <t>Issuance of Debt, Total</t>
  </si>
  <si>
    <t>Short-Term Debt, Begin</t>
  </si>
  <si>
    <t>Long-Term Debt,Begin</t>
  </si>
  <si>
    <t>Amount of Debt, Total, End</t>
  </si>
  <si>
    <t>Total Cash Paid for Income Taxes</t>
  </si>
  <si>
    <t>Less: Changes in Income Taxes Payable</t>
  </si>
  <si>
    <t>Other Tax Adjustments*</t>
  </si>
  <si>
    <t>Provision for ncome Taxes</t>
  </si>
  <si>
    <t>Less: Changes in Deferred Income Taxes</t>
  </si>
  <si>
    <r>
      <t>*</t>
    </r>
    <r>
      <rPr>
        <i/>
        <sz val="10"/>
        <color theme="1"/>
        <rFont val="Aptos Narrow"/>
        <scheme val="minor"/>
      </rPr>
      <t>Other Tax Adjustments</t>
    </r>
    <r>
      <rPr>
        <sz val="10"/>
        <color theme="1"/>
        <rFont val="Aptos Narrow"/>
        <scheme val="minor"/>
      </rPr>
      <t xml:space="preserve"> represent the differences between total cash paid for income taxes which provided from supplemental disclosures and which calculated from cash flow statement items, and doesn't affect future projections.</t>
    </r>
  </si>
  <si>
    <r>
      <t>*</t>
    </r>
    <r>
      <rPr>
        <i/>
        <sz val="10"/>
        <color theme="1"/>
        <rFont val="Aptos Narrow"/>
        <scheme val="minor"/>
      </rPr>
      <t>Adjustments</t>
    </r>
    <r>
      <rPr>
        <sz val="10"/>
        <color theme="1"/>
        <rFont val="Aptos Narrow"/>
        <scheme val="minor"/>
      </rPr>
      <t xml:space="preserve"> represent the differences between the amount of changing in balance sheet items and cash flow statement data caused by M&amp;A activities and possible accounting adjustments, and doesn't affect future projections.</t>
    </r>
  </si>
  <si>
    <r>
      <t>*</t>
    </r>
    <r>
      <rPr>
        <i/>
        <sz val="10"/>
        <color theme="1"/>
        <rFont val="Aptos Narrow"/>
        <scheme val="minor"/>
      </rPr>
      <t>Other Operating Expenses</t>
    </r>
    <r>
      <rPr>
        <sz val="10"/>
        <color theme="1"/>
        <rFont val="Aptos Narrow"/>
        <scheme val="minor"/>
      </rPr>
      <t xml:space="preserve"> Inculdes: Acquisition Termination Fee.</t>
    </r>
  </si>
  <si>
    <t>Prepaid Expenses, % of Operating Expenses</t>
  </si>
  <si>
    <t>Accrued Expenses, % of Operating Expenses</t>
  </si>
  <si>
    <t>( $ MM)</t>
  </si>
  <si>
    <t>&lt;- Average annual debt* eff. Interest rate</t>
  </si>
  <si>
    <r>
      <t>*</t>
    </r>
    <r>
      <rPr>
        <i/>
        <sz val="10"/>
        <color theme="1"/>
        <rFont val="Aptos Narrow"/>
        <scheme val="minor"/>
      </rPr>
      <t xml:space="preserve">Adjustments in Common Stock </t>
    </r>
    <r>
      <rPr>
        <sz val="10"/>
        <color theme="1"/>
        <rFont val="Aptos Narrow"/>
        <scheme val="minor"/>
      </rPr>
      <t>includes Proceeds from Re-issuance of treasury stock and Taxes paid related to net share settlement of equity awards.</t>
    </r>
  </si>
  <si>
    <t>Repayment of Debt, Total</t>
  </si>
  <si>
    <t>YoY Growth, by Customer Group</t>
  </si>
  <si>
    <t>Base Case</t>
  </si>
  <si>
    <t>Best Case</t>
  </si>
  <si>
    <t>Worst Case</t>
  </si>
  <si>
    <t>Cost &amp; Expense of Revenue, % of Total Revenue</t>
  </si>
  <si>
    <t>Working Capital Items</t>
  </si>
  <si>
    <t>Prepaid Expenses, % of Operating Ex</t>
  </si>
  <si>
    <t>Accrued Expenses, % of Operating Ex</t>
  </si>
  <si>
    <t>Publishing and Advertising Subscription</t>
  </si>
  <si>
    <t>Other Deperciation, Amortization and Accretion</t>
  </si>
  <si>
    <t>Less: Depreciation</t>
  </si>
  <si>
    <t>Less: Amortization</t>
  </si>
  <si>
    <t>Depreciation and Amortization</t>
  </si>
  <si>
    <t>Purchases, PP&amp;E</t>
  </si>
  <si>
    <t>Purchases, Other Intangibles</t>
  </si>
  <si>
    <t>Depreciation, % of PP&amp;E</t>
  </si>
  <si>
    <t>Amortization Years of Other Intangibles</t>
  </si>
  <si>
    <t>Amortization to Existing Intangibles</t>
  </si>
  <si>
    <t>Amortization to Newly Purchased Intangibles</t>
  </si>
  <si>
    <t>Effective interest Rate (Cash)</t>
  </si>
  <si>
    <t>Effective interest Rate (Debt)</t>
  </si>
  <si>
    <t>Debt and Interest</t>
  </si>
  <si>
    <t>Issuance of Short-Term Debt</t>
  </si>
  <si>
    <t>Issuance of Long-Term Debt</t>
  </si>
  <si>
    <t>Non-Operating Adjustments</t>
  </si>
  <si>
    <t>Investment Gains (Losses)</t>
  </si>
  <si>
    <t>Other Income (Expense)</t>
  </si>
  <si>
    <t>Income Taxes</t>
  </si>
  <si>
    <t>Deferred Income Tax, % of EBT</t>
  </si>
  <si>
    <t>Changes in ROU Assets</t>
  </si>
  <si>
    <t>Repurchase of Common Stock</t>
  </si>
  <si>
    <t>Publishing and Advertising Revenue</t>
  </si>
  <si>
    <t>Add: D&amp;A</t>
  </si>
  <si>
    <t>Less: Cash Taxes</t>
  </si>
  <si>
    <t>Less: CapEx</t>
  </si>
  <si>
    <t>Less: Changes in NWC</t>
  </si>
  <si>
    <t>Unlevered FCF</t>
  </si>
  <si>
    <t>Current Price</t>
  </si>
  <si>
    <t>Time Periods</t>
  </si>
  <si>
    <t>Discounted Unlevered FCF</t>
  </si>
  <si>
    <t>PV of Unlevered FCF</t>
  </si>
  <si>
    <t>Assumptions</t>
  </si>
  <si>
    <t>Terminal Value</t>
  </si>
  <si>
    <t>Terminal Multiple</t>
  </si>
  <si>
    <t>Present Value of Terminal Value</t>
  </si>
  <si>
    <t>Implied TEV / Present Value</t>
  </si>
  <si>
    <t>Plus: Cash</t>
  </si>
  <si>
    <t>Less:Debt</t>
  </si>
  <si>
    <t>Implied Equity Value</t>
  </si>
  <si>
    <t>SharesOutstanding</t>
  </si>
  <si>
    <t>Implied Share Price</t>
  </si>
  <si>
    <t>Market Value vs Intrinsic Value</t>
  </si>
  <si>
    <t>Market Value</t>
  </si>
  <si>
    <t>Market Cap</t>
  </si>
  <si>
    <t>Plus: Debt</t>
  </si>
  <si>
    <t>Less: Cash</t>
  </si>
  <si>
    <t>Enterprise Value</t>
  </si>
  <si>
    <t>Intrinsic Value</t>
  </si>
  <si>
    <t>Implied Upside / Downside</t>
  </si>
  <si>
    <t>Other Deperciation, Amortization and Accretion*</t>
  </si>
  <si>
    <t>Step-ups</t>
  </si>
  <si>
    <t>Row</t>
  </si>
  <si>
    <t>Column</t>
  </si>
  <si>
    <t>EV</t>
  </si>
  <si>
    <t>WACC</t>
  </si>
  <si>
    <t>Year-by-Year Assumptions</t>
  </si>
  <si>
    <t>Summary Values</t>
  </si>
  <si>
    <t>Net Revenue</t>
  </si>
  <si>
    <t xml:space="preserve">Net Income </t>
  </si>
  <si>
    <t>Total ARR</t>
  </si>
  <si>
    <t>EBT Margin</t>
  </si>
  <si>
    <t>Change</t>
  </si>
  <si>
    <t>Summary - Best Case</t>
  </si>
  <si>
    <t>Summary - Base Case</t>
  </si>
  <si>
    <t>Summary - Worst Case</t>
  </si>
  <si>
    <t>Estimated Shares Outstanding, in Millions</t>
  </si>
  <si>
    <t>*As there's no clear disclosure of items impacting the amount of additional depreciation, amortization and accretion other than PP&amp;E and intangibles, and the additional amount appears to have a stable historical trend, in order to prevent distortion of core operating assets and liabilities while maintaining balance sheet equilibrium, the forecasted non-cash adjustments are reflected directly through Retained Earnings. The model schedule will be refined should more granular disclosures become available in future filings.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</si>
</sst>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General&quot;A&quot;"/>
    <numFmt numFmtId="166" formatCode="[$$-409]#,##0.00"/>
    <numFmt numFmtId="167" formatCode="0_);\(0\)"/>
    <numFmt numFmtId="168" formatCode="0.00_);\(0.00\)"/>
    <numFmt numFmtId="169" formatCode="0.0000"/>
    <numFmt numFmtId="170" formatCode="#\ &quot;yrs&quot;"/>
    <numFmt numFmtId="171" formatCode="0.0&quot;x&quot;"/>
    <numFmt numFmtId="172" formatCode="#,##0.0\x"/>
    <numFmt numFmtId="173" formatCode="#,##0.0%_);\(#,##0.0%\)"/>
    <numFmt numFmtId="174" formatCode="0.0\x"/>
    <numFmt numFmtId="175" formatCode="0\ &quot;days&quot;"/>
    <numFmt numFmtId="176" formatCode="[$$-409]#,##0.00_);\([$$-409]#,##0.00\)"/>
  </numFmts>
  <fonts count="21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i/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color theme="0"/>
      <name val="Aptos Narrow"/>
      <scheme val="minor"/>
    </font>
    <font>
      <b/>
      <sz val="10"/>
      <color theme="0"/>
      <name val="Aptos Narrow"/>
      <scheme val="minor"/>
    </font>
    <font>
      <b/>
      <sz val="10"/>
      <color theme="1"/>
      <name val="Aptos Narrow"/>
      <scheme val="minor"/>
    </font>
    <font>
      <i/>
      <sz val="10"/>
      <color theme="1"/>
      <name val="Aptos Narrow"/>
      <scheme val="minor"/>
    </font>
    <font>
      <sz val="10"/>
      <color rgb="FF0036DC"/>
      <name val="Aptos Narrow"/>
      <scheme val="minor"/>
    </font>
    <font>
      <b/>
      <sz val="20"/>
      <color theme="1"/>
      <name val="Aptos Display"/>
      <scheme val="major"/>
    </font>
    <font>
      <sz val="14"/>
      <color theme="1"/>
      <name val="Aptos Display"/>
      <scheme val="major"/>
    </font>
    <font>
      <b/>
      <sz val="10"/>
      <color rgb="FF0036DC"/>
      <name val="Aptos Narrow"/>
      <scheme val="minor"/>
    </font>
    <font>
      <sz val="9"/>
      <color rgb="FF000000"/>
      <name val="Helvetica"/>
      <family val="2"/>
    </font>
    <font>
      <sz val="10"/>
      <name val="Aptos Narrow"/>
      <scheme val="minor"/>
    </font>
    <font>
      <b/>
      <sz val="10"/>
      <name val="Aptos Narrow"/>
      <scheme val="minor"/>
    </font>
    <font>
      <i/>
      <sz val="10"/>
      <name val="Aptos Narrow"/>
      <scheme val="minor"/>
    </font>
    <font>
      <i/>
      <sz val="10"/>
      <color theme="1" tint="0.34998626667073579"/>
      <name val="Aptos Narrow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rgb="FF0000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Continuous"/>
    </xf>
    <xf numFmtId="165" fontId="5" fillId="2" borderId="0" xfId="0" applyNumberFormat="1" applyFont="1" applyFill="1"/>
    <xf numFmtId="0" fontId="6" fillId="2" borderId="0" xfId="0" applyFont="1" applyFill="1"/>
    <xf numFmtId="0" fontId="5" fillId="2" borderId="0" xfId="0" applyFont="1" applyFill="1"/>
    <xf numFmtId="0" fontId="7" fillId="0" borderId="0" xfId="0" applyFont="1"/>
    <xf numFmtId="0" fontId="8" fillId="0" borderId="0" xfId="0" applyFont="1" applyAlignment="1">
      <alignment horizontal="left"/>
    </xf>
    <xf numFmtId="3" fontId="9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0" fontId="4" fillId="0" borderId="1" xfId="0" applyFont="1" applyBorder="1"/>
    <xf numFmtId="10" fontId="4" fillId="0" borderId="1" xfId="0" applyNumberFormat="1" applyFont="1" applyBorder="1"/>
    <xf numFmtId="0" fontId="7" fillId="0" borderId="0" xfId="0" applyFont="1" applyAlignment="1">
      <alignment horizontal="left"/>
    </xf>
    <xf numFmtId="0" fontId="9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9" fontId="9" fillId="0" borderId="0" xfId="0" applyNumberFormat="1" applyFont="1"/>
    <xf numFmtId="10" fontId="9" fillId="0" borderId="0" xfId="0" applyNumberFormat="1" applyFont="1"/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4" fillId="0" borderId="4" xfId="0" applyFont="1" applyBorder="1"/>
    <xf numFmtId="0" fontId="4" fillId="0" borderId="2" xfId="0" applyFont="1" applyBorder="1"/>
    <xf numFmtId="0" fontId="4" fillId="0" borderId="5" xfId="0" applyFont="1" applyBorder="1" applyAlignment="1">
      <alignment horizontal="center"/>
    </xf>
    <xf numFmtId="0" fontId="7" fillId="0" borderId="6" xfId="0" applyFont="1" applyBorder="1"/>
    <xf numFmtId="0" fontId="4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1" xfId="0" applyFont="1" applyBorder="1"/>
    <xf numFmtId="0" fontId="4" fillId="0" borderId="9" xfId="0" applyFont="1" applyBorder="1" applyAlignment="1">
      <alignment horizontal="center"/>
    </xf>
    <xf numFmtId="165" fontId="5" fillId="3" borderId="0" xfId="0" applyNumberFormat="1" applyFont="1" applyFill="1"/>
    <xf numFmtId="0" fontId="6" fillId="3" borderId="0" xfId="0" applyFont="1" applyFill="1"/>
    <xf numFmtId="0" fontId="5" fillId="3" borderId="0" xfId="0" applyFont="1" applyFill="1"/>
    <xf numFmtId="37" fontId="7" fillId="0" borderId="0" xfId="0" applyNumberFormat="1" applyFont="1"/>
    <xf numFmtId="37" fontId="4" fillId="0" borderId="0" xfId="0" applyNumberFormat="1" applyFont="1"/>
    <xf numFmtId="37" fontId="4" fillId="0" borderId="1" xfId="0" applyNumberFormat="1" applyFont="1" applyBorder="1"/>
    <xf numFmtId="37" fontId="9" fillId="0" borderId="0" xfId="0" applyNumberFormat="1" applyFont="1"/>
    <xf numFmtId="37" fontId="9" fillId="0" borderId="1" xfId="0" applyNumberFormat="1" applyFont="1" applyBorder="1"/>
    <xf numFmtId="0" fontId="9" fillId="0" borderId="1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3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37" fontId="4" fillId="0" borderId="2" xfId="0" applyNumberFormat="1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2" fillId="0" borderId="0" xfId="0" applyFont="1"/>
    <xf numFmtId="10" fontId="12" fillId="0" borderId="0" xfId="0" applyNumberFormat="1" applyFont="1"/>
    <xf numFmtId="0" fontId="7" fillId="0" borderId="1" xfId="0" applyFont="1" applyBorder="1" applyAlignment="1">
      <alignment horizontal="centerContinuous"/>
    </xf>
    <xf numFmtId="39" fontId="4" fillId="0" borderId="0" xfId="0" applyNumberFormat="1" applyFont="1"/>
    <xf numFmtId="0" fontId="8" fillId="0" borderId="10" xfId="0" applyFont="1" applyBorder="1"/>
    <xf numFmtId="0" fontId="7" fillId="0" borderId="4" xfId="0" applyFont="1" applyBorder="1"/>
    <xf numFmtId="0" fontId="7" fillId="0" borderId="2" xfId="0" applyFont="1" applyBorder="1" applyAlignment="1">
      <alignment horizontal="center"/>
    </xf>
    <xf numFmtId="10" fontId="4" fillId="0" borderId="7" xfId="0" applyNumberFormat="1" applyFont="1" applyBorder="1"/>
    <xf numFmtId="10" fontId="4" fillId="0" borderId="9" xfId="0" applyNumberFormat="1" applyFont="1" applyBorder="1"/>
    <xf numFmtId="37" fontId="4" fillId="0" borderId="5" xfId="0" applyNumberFormat="1" applyFont="1" applyBorder="1"/>
    <xf numFmtId="37" fontId="4" fillId="0" borderId="7" xfId="0" applyNumberFormat="1" applyFont="1" applyBorder="1"/>
    <xf numFmtId="37" fontId="4" fillId="0" borderId="9" xfId="0" applyNumberFormat="1" applyFont="1" applyBorder="1"/>
    <xf numFmtId="168" fontId="9" fillId="0" borderId="0" xfId="0" applyNumberFormat="1" applyFont="1"/>
    <xf numFmtId="0" fontId="4" fillId="0" borderId="7" xfId="0" applyFont="1" applyBorder="1"/>
    <xf numFmtId="37" fontId="7" fillId="0" borderId="1" xfId="0" applyNumberFormat="1" applyFont="1" applyBorder="1"/>
    <xf numFmtId="37" fontId="7" fillId="0" borderId="9" xfId="0" applyNumberFormat="1" applyFont="1" applyBorder="1"/>
    <xf numFmtId="0" fontId="7" fillId="0" borderId="10" xfId="0" applyFont="1" applyBorder="1"/>
    <xf numFmtId="0" fontId="7" fillId="0" borderId="11" xfId="0" applyFont="1" applyBorder="1"/>
    <xf numFmtId="37" fontId="7" fillId="0" borderId="12" xfId="0" applyNumberFormat="1" applyFont="1" applyBorder="1"/>
    <xf numFmtId="37" fontId="12" fillId="0" borderId="0" xfId="0" applyNumberFormat="1" applyFont="1"/>
    <xf numFmtId="37" fontId="7" fillId="0" borderId="7" xfId="0" applyNumberFormat="1" applyFont="1" applyBorder="1"/>
    <xf numFmtId="0" fontId="4" fillId="0" borderId="9" xfId="0" applyFont="1" applyBorder="1"/>
    <xf numFmtId="167" fontId="4" fillId="0" borderId="11" xfId="0" applyNumberFormat="1" applyFont="1" applyBorder="1"/>
    <xf numFmtId="167" fontId="4" fillId="0" borderId="12" xfId="0" applyNumberFormat="1" applyFont="1" applyBorder="1"/>
    <xf numFmtId="37" fontId="7" fillId="0" borderId="13" xfId="0" applyNumberFormat="1" applyFont="1" applyBorder="1"/>
    <xf numFmtId="10" fontId="4" fillId="0" borderId="5" xfId="0" applyNumberFormat="1" applyFont="1" applyBorder="1"/>
    <xf numFmtId="0" fontId="14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37" fontId="14" fillId="0" borderId="0" xfId="0" applyNumberFormat="1" applyFont="1"/>
    <xf numFmtId="0" fontId="15" fillId="4" borderId="0" xfId="0" applyFont="1" applyFill="1" applyAlignment="1">
      <alignment horizontal="center" vertical="center"/>
    </xf>
    <xf numFmtId="10" fontId="8" fillId="0" borderId="0" xfId="0" applyNumberFormat="1" applyFont="1"/>
    <xf numFmtId="39" fontId="7" fillId="0" borderId="0" xfId="0" applyNumberFormat="1" applyFont="1"/>
    <xf numFmtId="10" fontId="4" fillId="0" borderId="2" xfId="0" applyNumberFormat="1" applyFont="1" applyBorder="1"/>
    <xf numFmtId="0" fontId="16" fillId="3" borderId="0" xfId="0" applyFont="1" applyFill="1"/>
    <xf numFmtId="169" fontId="8" fillId="0" borderId="0" xfId="0" applyNumberFormat="1" applyFont="1"/>
    <xf numFmtId="0" fontId="17" fillId="3" borderId="0" xfId="0" applyFont="1" applyFill="1"/>
    <xf numFmtId="0" fontId="17" fillId="0" borderId="8" xfId="0" applyFont="1" applyBorder="1"/>
    <xf numFmtId="0" fontId="17" fillId="0" borderId="1" xfId="0" applyFont="1" applyBorder="1"/>
    <xf numFmtId="10" fontId="17" fillId="0" borderId="1" xfId="0" applyNumberFormat="1" applyFont="1" applyBorder="1"/>
    <xf numFmtId="10" fontId="17" fillId="0" borderId="9" xfId="0" applyNumberFormat="1" applyFont="1" applyBorder="1"/>
    <xf numFmtId="0" fontId="17" fillId="0" borderId="0" xfId="0" applyFont="1"/>
    <xf numFmtId="10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3" borderId="0" xfId="0" applyFont="1" applyFill="1" applyAlignment="1">
      <alignment horizontal="center"/>
    </xf>
    <xf numFmtId="0" fontId="17" fillId="3" borderId="0" xfId="0" applyFont="1" applyFill="1" applyAlignment="1">
      <alignment horizontal="left"/>
    </xf>
    <xf numFmtId="10" fontId="17" fillId="3" borderId="0" xfId="0" applyNumberFormat="1" applyFont="1" applyFill="1"/>
    <xf numFmtId="9" fontId="9" fillId="0" borderId="12" xfId="0" applyNumberFormat="1" applyFont="1" applyBorder="1"/>
    <xf numFmtId="10" fontId="9" fillId="0" borderId="7" xfId="0" applyNumberFormat="1" applyFont="1" applyBorder="1"/>
    <xf numFmtId="164" fontId="9" fillId="0" borderId="7" xfId="0" applyNumberFormat="1" applyFont="1" applyBorder="1"/>
    <xf numFmtId="10" fontId="9" fillId="0" borderId="1" xfId="0" applyNumberFormat="1" applyFont="1" applyBorder="1"/>
    <xf numFmtId="10" fontId="9" fillId="0" borderId="9" xfId="0" applyNumberFormat="1" applyFont="1" applyBorder="1"/>
    <xf numFmtId="10" fontId="9" fillId="0" borderId="4" xfId="0" applyNumberFormat="1" applyFont="1" applyBorder="1"/>
    <xf numFmtId="10" fontId="9" fillId="0" borderId="2" xfId="0" applyNumberFormat="1" applyFont="1" applyBorder="1"/>
    <xf numFmtId="10" fontId="9" fillId="0" borderId="5" xfId="0" applyNumberFormat="1" applyFont="1" applyBorder="1"/>
    <xf numFmtId="10" fontId="9" fillId="0" borderId="6" xfId="0" applyNumberFormat="1" applyFont="1" applyBorder="1"/>
    <xf numFmtId="10" fontId="9" fillId="0" borderId="8" xfId="0" applyNumberFormat="1" applyFont="1" applyBorder="1"/>
    <xf numFmtId="10" fontId="7" fillId="0" borderId="11" xfId="0" applyNumberFormat="1" applyFont="1" applyBorder="1"/>
    <xf numFmtId="10" fontId="7" fillId="0" borderId="12" xfId="0" applyNumberFormat="1" applyFont="1" applyBorder="1"/>
    <xf numFmtId="10" fontId="7" fillId="0" borderId="10" xfId="0" applyNumberFormat="1" applyFont="1" applyBorder="1"/>
    <xf numFmtId="37" fontId="17" fillId="0" borderId="0" xfId="0" applyNumberFormat="1" applyFont="1"/>
    <xf numFmtId="0" fontId="18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4" fillId="2" borderId="0" xfId="0" applyFont="1" applyFill="1"/>
    <xf numFmtId="166" fontId="4" fillId="0" borderId="0" xfId="0" applyNumberFormat="1" applyFont="1"/>
    <xf numFmtId="0" fontId="9" fillId="0" borderId="5" xfId="0" applyFont="1" applyBorder="1"/>
    <xf numFmtId="9" fontId="9" fillId="0" borderId="7" xfId="0" applyNumberFormat="1" applyFont="1" applyBorder="1"/>
    <xf numFmtId="164" fontId="9" fillId="0" borderId="9" xfId="0" applyNumberFormat="1" applyFont="1" applyBorder="1"/>
    <xf numFmtId="37" fontId="9" fillId="0" borderId="7" xfId="0" applyNumberFormat="1" applyFont="1" applyBorder="1"/>
    <xf numFmtId="170" fontId="9" fillId="0" borderId="7" xfId="0" applyNumberFormat="1" applyFont="1" applyBorder="1"/>
    <xf numFmtId="37" fontId="9" fillId="0" borderId="9" xfId="0" applyNumberFormat="1" applyFont="1" applyBorder="1"/>
    <xf numFmtId="0" fontId="4" fillId="2" borderId="2" xfId="0" applyFont="1" applyFill="1" applyBorder="1"/>
    <xf numFmtId="0" fontId="4" fillId="2" borderId="5" xfId="0" applyFont="1" applyFill="1" applyBorder="1"/>
    <xf numFmtId="0" fontId="6" fillId="2" borderId="4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6" fillId="2" borderId="2" xfId="0" applyFont="1" applyFill="1" applyBorder="1"/>
    <xf numFmtId="0" fontId="19" fillId="0" borderId="6" xfId="0" applyFont="1" applyBorder="1"/>
    <xf numFmtId="0" fontId="19" fillId="0" borderId="8" xfId="0" applyFont="1" applyBorder="1"/>
    <xf numFmtId="172" fontId="20" fillId="0" borderId="7" xfId="1" applyNumberFormat="1" applyFont="1" applyBorder="1" applyAlignment="1">
      <alignment horizontal="right"/>
    </xf>
    <xf numFmtId="173" fontId="20" fillId="0" borderId="9" xfId="1" applyNumberFormat="1" applyFont="1" applyBorder="1" applyAlignment="1">
      <alignment horizontal="right"/>
    </xf>
    <xf numFmtId="171" fontId="9" fillId="0" borderId="1" xfId="0" applyNumberFormat="1" applyFont="1" applyBorder="1"/>
    <xf numFmtId="164" fontId="4" fillId="0" borderId="14" xfId="0" applyNumberFormat="1" applyFont="1" applyBorder="1"/>
    <xf numFmtId="164" fontId="4" fillId="0" borderId="15" xfId="0" applyNumberFormat="1" applyFont="1" applyBorder="1"/>
    <xf numFmtId="164" fontId="9" fillId="0" borderId="15" xfId="0" applyNumberFormat="1" applyFont="1" applyBorder="1"/>
    <xf numFmtId="174" fontId="4" fillId="0" borderId="1" xfId="0" applyNumberFormat="1" applyFont="1" applyBorder="1"/>
    <xf numFmtId="174" fontId="4" fillId="0" borderId="8" xfId="0" applyNumberFormat="1" applyFont="1" applyBorder="1"/>
    <xf numFmtId="0" fontId="7" fillId="0" borderId="3" xfId="0" applyFont="1" applyBorder="1" applyAlignment="1">
      <alignment horizontal="centerContinuous"/>
    </xf>
    <xf numFmtId="0" fontId="4" fillId="0" borderId="1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9" fillId="0" borderId="5" xfId="0" applyNumberFormat="1" applyFont="1" applyBorder="1"/>
    <xf numFmtId="10" fontId="4" fillId="0" borderId="6" xfId="0" applyNumberFormat="1" applyFont="1" applyBorder="1"/>
    <xf numFmtId="0" fontId="5" fillId="2" borderId="0" xfId="0" applyFont="1" applyFill="1" applyAlignment="1">
      <alignment horizontal="right"/>
    </xf>
    <xf numFmtId="0" fontId="5" fillId="2" borderId="5" xfId="0" applyFont="1" applyFill="1" applyBorder="1" applyAlignment="1">
      <alignment horizontal="right"/>
    </xf>
    <xf numFmtId="175" fontId="9" fillId="0" borderId="7" xfId="0" applyNumberFormat="1" applyFont="1" applyBorder="1"/>
    <xf numFmtId="0" fontId="4" fillId="0" borderId="7" xfId="0" applyFont="1" applyBorder="1" applyAlignment="1">
      <alignment horizontal="right"/>
    </xf>
    <xf numFmtId="171" fontId="9" fillId="0" borderId="7" xfId="0" applyNumberFormat="1" applyFont="1" applyBorder="1"/>
    <xf numFmtId="14" fontId="9" fillId="0" borderId="7" xfId="0" applyNumberFormat="1" applyFont="1" applyBorder="1"/>
    <xf numFmtId="166" fontId="9" fillId="0" borderId="7" xfId="0" applyNumberFormat="1" applyFont="1" applyBorder="1"/>
    <xf numFmtId="0" fontId="4" fillId="0" borderId="16" xfId="0" applyFont="1" applyBorder="1"/>
    <xf numFmtId="176" fontId="7" fillId="0" borderId="0" xfId="0" applyNumberFormat="1" applyFont="1"/>
    <xf numFmtId="176" fontId="7" fillId="0" borderId="9" xfId="0" applyNumberFormat="1" applyFont="1" applyBorder="1"/>
    <xf numFmtId="0" fontId="18" fillId="0" borderId="4" xfId="0" applyFont="1" applyBorder="1"/>
    <xf numFmtId="0" fontId="18" fillId="0" borderId="2" xfId="0" applyFont="1" applyBorder="1"/>
    <xf numFmtId="0" fontId="7" fillId="0" borderId="11" xfId="0" applyFont="1" applyBorder="1" applyAlignment="1">
      <alignment horizontal="centerContinuous"/>
    </xf>
    <xf numFmtId="0" fontId="4" fillId="0" borderId="11" xfId="0" applyFont="1" applyBorder="1" applyAlignment="1">
      <alignment horizontal="centerContinuous"/>
    </xf>
    <xf numFmtId="0" fontId="18" fillId="0" borderId="6" xfId="0" applyFont="1" applyBorder="1"/>
    <xf numFmtId="0" fontId="18" fillId="0" borderId="7" xfId="0" applyFont="1" applyBorder="1"/>
    <xf numFmtId="37" fontId="18" fillId="0" borderId="0" xfId="0" applyNumberFormat="1" applyFont="1"/>
    <xf numFmtId="37" fontId="18" fillId="0" borderId="7" xfId="0" applyNumberFormat="1" applyFont="1" applyBorder="1"/>
    <xf numFmtId="0" fontId="8" fillId="0" borderId="6" xfId="0" applyFont="1" applyBorder="1"/>
    <xf numFmtId="10" fontId="8" fillId="0" borderId="7" xfId="0" applyNumberFormat="1" applyFont="1" applyBorder="1"/>
    <xf numFmtId="10" fontId="18" fillId="0" borderId="0" xfId="0" applyNumberFormat="1" applyFont="1"/>
    <xf numFmtId="10" fontId="18" fillId="0" borderId="7" xfId="0" applyNumberFormat="1" applyFont="1" applyBorder="1"/>
    <xf numFmtId="0" fontId="18" fillId="0" borderId="1" xfId="0" applyFont="1" applyBorder="1"/>
    <xf numFmtId="0" fontId="18" fillId="0" borderId="9" xfId="0" applyFont="1" applyBorder="1"/>
    <xf numFmtId="165" fontId="5" fillId="2" borderId="2" xfId="0" applyNumberFormat="1" applyFont="1" applyFill="1" applyBorder="1"/>
    <xf numFmtId="2" fontId="7" fillId="0" borderId="12" xfId="0" applyNumberFormat="1" applyFont="1" applyBorder="1"/>
    <xf numFmtId="0" fontId="18" fillId="0" borderId="0" xfId="0" applyFont="1" applyAlignment="1">
      <alignment horizontal="centerContinuous"/>
    </xf>
    <xf numFmtId="37" fontId="18" fillId="0" borderId="4" xfId="0" applyNumberFormat="1" applyFont="1" applyBorder="1"/>
    <xf numFmtId="37" fontId="18" fillId="0" borderId="2" xfId="0" applyNumberFormat="1" applyFont="1" applyBorder="1"/>
    <xf numFmtId="37" fontId="18" fillId="0" borderId="5" xfId="0" applyNumberFormat="1" applyFont="1" applyBorder="1"/>
    <xf numFmtId="10" fontId="18" fillId="0" borderId="6" xfId="0" applyNumberFormat="1" applyFont="1" applyBorder="1"/>
    <xf numFmtId="37" fontId="18" fillId="0" borderId="6" xfId="0" applyNumberFormat="1" applyFont="1" applyBorder="1"/>
    <xf numFmtId="10" fontId="18" fillId="0" borderId="8" xfId="0" applyNumberFormat="1" applyFont="1" applyBorder="1"/>
    <xf numFmtId="10" fontId="18" fillId="0" borderId="1" xfId="0" applyNumberFormat="1" applyFont="1" applyBorder="1"/>
    <xf numFmtId="10" fontId="18" fillId="0" borderId="9" xfId="0" applyNumberFormat="1" applyFont="1" applyBorder="1"/>
    <xf numFmtId="2" fontId="7" fillId="0" borderId="0" xfId="0" applyNumberFormat="1" applyFont="1"/>
    <xf numFmtId="165" fontId="4" fillId="0" borderId="11" xfId="0" applyNumberFormat="1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Normal 2" xfId="1" xr:uid="{91AA9AA7-1197-4949-B616-2394147B3439}"/>
  </cellStyles>
  <dxfs count="0"/>
  <tableStyles count="0" defaultTableStyle="TableStyleMedium2" defaultPivotStyle="PivotStyleLight16"/>
  <colors>
    <mruColors>
      <color rgb="FF0036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Market</a:t>
            </a:r>
            <a:r>
              <a:rPr kumimoji="0" lang="zh-CN" alt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 </a:t>
            </a:r>
            <a:r>
              <a:rPr kumimoji="0" lang="en-US" altLang="zh-CN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Value vs Intrinsic Value</a:t>
            </a:r>
          </a:p>
        </cx:rich>
      </cx:tx>
    </cx:title>
    <cx:plotArea>
      <cx:plotAreaRegion>
        <cx:series layoutId="waterfall" uniqueId="{8A439D7F-E43D-0148-8710-518CE62E805B}">
          <cx:dataPt idx="0">
            <cx:spPr>
              <a:solidFill>
                <a:srgbClr val="001E5E"/>
              </a:solidFill>
            </cx:spPr>
          </cx:dataPt>
          <cx:dataPt idx="1">
            <cx:spPr>
              <a:solidFill>
                <a:srgbClr val="01B0F0"/>
              </a:solidFill>
            </cx:spPr>
          </cx:dataPt>
          <cx:dataPt idx="2">
            <cx:spPr>
              <a:solidFill>
                <a:srgbClr val="001E5E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GB" sz="10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endParaRPr>
          </a:p>
        </cx:txPr>
      </cx:axis>
      <cx:axis id="1">
        <cx:valScaling max="300"/>
        <cx:tickLabels/>
        <cx:numFmt formatCode="#,##0.00_);(#,##0.00)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31" fmlaLink="$E$5" fmlaRange="$D$11:$D$13" noThreeD="1" sel="1" val="0"/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11</xdr:row>
      <xdr:rowOff>10160</xdr:rowOff>
    </xdr:from>
    <xdr:to>
      <xdr:col>14</xdr:col>
      <xdr:colOff>20320</xdr:colOff>
      <xdr:row>23</xdr:row>
      <xdr:rowOff>172720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869F6E9-2E8A-C05E-D46E-CBF5320C7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6240" y="1965960"/>
              <a:ext cx="3307080" cy="2296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4</xdr:row>
          <xdr:rowOff>12700</xdr:rowOff>
        </xdr:from>
        <xdr:to>
          <xdr:col>5</xdr:col>
          <xdr:colOff>0</xdr:colOff>
          <xdr:row>5</xdr:row>
          <xdr:rowOff>0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Webflix">
      <a:dk1>
        <a:srgbClr val="000000"/>
      </a:dk1>
      <a:lt1>
        <a:srgbClr val="FFFFFF"/>
      </a:lt1>
      <a:dk2>
        <a:srgbClr val="001E5E"/>
      </a:dk2>
      <a:lt2>
        <a:srgbClr val="EEECE1"/>
      </a:lt2>
      <a:accent1>
        <a:srgbClr val="001D5E"/>
      </a:accent1>
      <a:accent2>
        <a:srgbClr val="01B0F0"/>
      </a:accent2>
      <a:accent3>
        <a:srgbClr val="797979"/>
      </a:accent3>
      <a:accent4>
        <a:srgbClr val="A6A6A6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7090-BE49-694D-BDFF-498507FABE3C}">
  <dimension ref="B8:J27"/>
  <sheetViews>
    <sheetView showGridLines="0" topLeftCell="A4" zoomScaleNormal="100" workbookViewId="0">
      <selection activeCell="M16" sqref="M16"/>
    </sheetView>
  </sheetViews>
  <sheetFormatPr baseColWidth="10" defaultRowHeight="16" x14ac:dyDescent="0.2"/>
  <cols>
    <col min="1" max="1" width="4.83203125" customWidth="1"/>
  </cols>
  <sheetData>
    <row r="8" spans="2:2" ht="32" x14ac:dyDescent="0.4">
      <c r="B8" s="2" t="s">
        <v>13</v>
      </c>
    </row>
    <row r="10" spans="2:2" ht="19" x14ac:dyDescent="0.25">
      <c r="B10" s="3" t="s">
        <v>79</v>
      </c>
    </row>
    <row r="25" spans="2:10" ht="19" x14ac:dyDescent="0.25">
      <c r="B25" s="1" t="s">
        <v>3</v>
      </c>
    </row>
    <row r="26" spans="2:10" ht="61" customHeight="1" x14ac:dyDescent="0.2">
      <c r="B26" s="191" t="s">
        <v>4</v>
      </c>
      <c r="C26" s="191"/>
      <c r="D26" s="191"/>
      <c r="E26" s="191"/>
      <c r="F26" s="191"/>
      <c r="G26" s="191"/>
      <c r="H26" s="191"/>
      <c r="I26" s="191"/>
      <c r="J26" s="191"/>
    </row>
    <row r="27" spans="2:10" ht="19" x14ac:dyDescent="0.25">
      <c r="B27" s="1"/>
    </row>
  </sheetData>
  <mergeCells count="1">
    <mergeCell ref="B26:J26"/>
  </mergeCells>
  <pageMargins left="0.25" right="0.25" top="0.25" bottom="0.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ABB8-7991-1B42-9FA9-CA6CB4E4741D}">
  <dimension ref="A2:AF54"/>
  <sheetViews>
    <sheetView showGridLines="0" topLeftCell="A9" zoomScale="125" workbookViewId="0">
      <selection activeCell="N21" sqref="N21"/>
    </sheetView>
  </sheetViews>
  <sheetFormatPr baseColWidth="10" defaultRowHeight="14" customHeight="1" x14ac:dyDescent="0.2"/>
  <cols>
    <col min="1" max="2" width="4.83203125" style="122" customWidth="1"/>
    <col min="3" max="3" width="10.83203125" style="122" customWidth="1"/>
    <col min="4" max="15" width="10.83203125" style="122"/>
    <col min="16" max="18" width="4.83203125" style="122" customWidth="1"/>
    <col min="19" max="16384" width="10.83203125" style="122"/>
  </cols>
  <sheetData>
    <row r="2" spans="1:20" s="4" customFormat="1" ht="25" x14ac:dyDescent="0.3">
      <c r="A2" s="85"/>
      <c r="B2" s="27" t="str">
        <f>COVER!B8</f>
        <v>Adobe Inc.</v>
      </c>
      <c r="C2" s="25"/>
      <c r="D2" s="25"/>
      <c r="E2" s="25"/>
      <c r="F2" s="25"/>
      <c r="G2" s="25"/>
      <c r="H2" s="25"/>
      <c r="I2" s="25"/>
      <c r="J2" s="26"/>
      <c r="K2" s="25"/>
      <c r="L2" s="25"/>
      <c r="M2" s="25"/>
      <c r="N2" s="25"/>
      <c r="O2" s="25"/>
      <c r="P2" s="25"/>
    </row>
    <row r="3" spans="1:20" s="4" customFormat="1" ht="19" thickBot="1" x14ac:dyDescent="0.3">
      <c r="A3" s="85"/>
      <c r="B3" s="29" t="s">
        <v>14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20" s="4" customFormat="1" ht="8" customHeight="1" x14ac:dyDescent="0.25">
      <c r="A4" s="85"/>
      <c r="B4" s="30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6" spans="1:20" ht="14" customHeight="1" x14ac:dyDescent="0.2">
      <c r="C6" s="26" t="s">
        <v>258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</row>
    <row r="7" spans="1:20" ht="14" customHeight="1" x14ac:dyDescent="0.2">
      <c r="C7" s="165"/>
      <c r="D7" s="165"/>
      <c r="E7" s="165"/>
      <c r="F7" s="32"/>
      <c r="G7" s="32"/>
      <c r="H7" s="32"/>
      <c r="I7" s="32"/>
      <c r="J7" s="32"/>
      <c r="K7" s="166" t="s">
        <v>7</v>
      </c>
      <c r="L7" s="167"/>
      <c r="M7" s="167"/>
      <c r="N7" s="167"/>
      <c r="O7" s="167"/>
    </row>
    <row r="8" spans="1:20" ht="14" customHeight="1" x14ac:dyDescent="0.2">
      <c r="D8" s="176"/>
      <c r="E8" s="176"/>
      <c r="F8" s="15"/>
      <c r="G8" s="15"/>
      <c r="H8" s="15"/>
      <c r="I8" s="15"/>
      <c r="J8" s="15"/>
      <c r="K8" s="15"/>
      <c r="L8" s="15"/>
      <c r="M8" s="15"/>
      <c r="N8" s="15"/>
      <c r="O8" s="124"/>
    </row>
    <row r="9" spans="1:20" ht="14" customHeight="1" x14ac:dyDescent="0.2">
      <c r="C9" s="164"/>
      <c r="D9" s="165"/>
      <c r="E9" s="165"/>
      <c r="F9" s="178">
        <f>G9-1</f>
        <v>2021</v>
      </c>
      <c r="G9" s="178">
        <f>H9-1</f>
        <v>2022</v>
      </c>
      <c r="H9" s="178">
        <f>I9-1</f>
        <v>2023</v>
      </c>
      <c r="I9" s="178">
        <f>J9-1</f>
        <v>2024</v>
      </c>
      <c r="J9" s="178">
        <f>K9-1</f>
        <v>2025</v>
      </c>
      <c r="K9" s="138">
        <f>Assumptions!$G$4</f>
        <v>2026</v>
      </c>
      <c r="L9" s="136">
        <f>K9+1</f>
        <v>2027</v>
      </c>
      <c r="M9" s="136">
        <f>L9+1</f>
        <v>2028</v>
      </c>
      <c r="N9" s="136">
        <f>M9+1</f>
        <v>2029</v>
      </c>
      <c r="O9" s="137">
        <f>N9+1</f>
        <v>2030</v>
      </c>
    </row>
    <row r="10" spans="1:20" ht="14" customHeight="1" x14ac:dyDescent="0.2">
      <c r="C10" s="168"/>
      <c r="O10" s="169"/>
    </row>
    <row r="11" spans="1:20" ht="14" customHeight="1" x14ac:dyDescent="0.2">
      <c r="C11" s="168" t="s">
        <v>252</v>
      </c>
      <c r="F11" s="181">
        <v>15785</v>
      </c>
      <c r="G11" s="182">
        <v>17606</v>
      </c>
      <c r="H11" s="182">
        <v>19409</v>
      </c>
      <c r="I11" s="182">
        <v>21505</v>
      </c>
      <c r="J11" s="182">
        <v>23769</v>
      </c>
      <c r="K11" s="182">
        <v>26295</v>
      </c>
      <c r="L11" s="182">
        <v>28946</v>
      </c>
      <c r="M11" s="182">
        <v>31723</v>
      </c>
      <c r="N11" s="182">
        <v>34634</v>
      </c>
      <c r="O11" s="183">
        <v>37790</v>
      </c>
    </row>
    <row r="12" spans="1:20" ht="14" customHeight="1" x14ac:dyDescent="0.2">
      <c r="C12" s="172"/>
      <c r="D12" s="21" t="s">
        <v>12</v>
      </c>
      <c r="E12" s="21"/>
      <c r="F12" s="184"/>
      <c r="G12" s="174">
        <v>0.1154</v>
      </c>
      <c r="H12" s="174">
        <v>0.1024</v>
      </c>
      <c r="I12" s="174">
        <v>0.108</v>
      </c>
      <c r="J12" s="174">
        <v>0.1053</v>
      </c>
      <c r="K12" s="174">
        <v>0.10630000000000001</v>
      </c>
      <c r="L12" s="174">
        <v>0.1008</v>
      </c>
      <c r="M12" s="174">
        <v>9.5899999999999999E-2</v>
      </c>
      <c r="N12" s="174">
        <v>9.1800000000000007E-2</v>
      </c>
      <c r="O12" s="175">
        <v>9.11E-2</v>
      </c>
    </row>
    <row r="13" spans="1:20" ht="14" customHeight="1" x14ac:dyDescent="0.2">
      <c r="C13" s="168" t="s">
        <v>253</v>
      </c>
      <c r="F13" s="185">
        <v>4822</v>
      </c>
      <c r="G13" s="170">
        <v>4756</v>
      </c>
      <c r="H13" s="170">
        <v>5428</v>
      </c>
      <c r="I13" s="170">
        <v>5560</v>
      </c>
      <c r="J13" s="170">
        <v>7130</v>
      </c>
      <c r="K13" s="170">
        <v>7120</v>
      </c>
      <c r="L13" s="170">
        <v>7923</v>
      </c>
      <c r="M13" s="170">
        <v>8769</v>
      </c>
      <c r="N13" s="170">
        <v>9646</v>
      </c>
      <c r="O13" s="171">
        <v>10577</v>
      </c>
    </row>
    <row r="14" spans="1:20" ht="14" customHeight="1" x14ac:dyDescent="0.2">
      <c r="C14" s="168"/>
      <c r="D14" s="21" t="s">
        <v>12</v>
      </c>
      <c r="E14" s="21"/>
      <c r="F14" s="185"/>
      <c r="G14" s="174">
        <v>-1.37E-2</v>
      </c>
      <c r="H14" s="174">
        <v>0.14130000000000001</v>
      </c>
      <c r="I14" s="174">
        <v>2.4299999999999999E-2</v>
      </c>
      <c r="J14" s="174">
        <v>0.28239999999999998</v>
      </c>
      <c r="K14" s="174">
        <v>-1.4E-3</v>
      </c>
      <c r="L14" s="174">
        <v>0.1128</v>
      </c>
      <c r="M14" s="174">
        <v>0.10680000000000001</v>
      </c>
      <c r="N14" s="174">
        <v>0.10009999999999999</v>
      </c>
      <c r="O14" s="175">
        <v>9.6500000000000002E-2</v>
      </c>
    </row>
    <row r="15" spans="1:20" ht="14" customHeight="1" x14ac:dyDescent="0.2">
      <c r="C15" s="168" t="s">
        <v>254</v>
      </c>
      <c r="F15" s="185"/>
      <c r="G15" s="170"/>
      <c r="H15" s="170"/>
      <c r="I15" s="170">
        <v>22601</v>
      </c>
      <c r="J15" s="170">
        <v>25200</v>
      </c>
      <c r="K15" s="170">
        <v>27782</v>
      </c>
      <c r="L15" s="170">
        <v>30591</v>
      </c>
      <c r="M15" s="170">
        <v>33533</v>
      </c>
      <c r="N15" s="170">
        <v>36615</v>
      </c>
      <c r="O15" s="171">
        <v>39954</v>
      </c>
    </row>
    <row r="16" spans="1:20" ht="14" customHeight="1" x14ac:dyDescent="0.2">
      <c r="C16" s="172"/>
      <c r="D16" s="21" t="s">
        <v>12</v>
      </c>
      <c r="E16" s="21"/>
      <c r="F16" s="185"/>
      <c r="G16" s="170"/>
      <c r="H16" s="170"/>
      <c r="I16" s="174"/>
      <c r="J16" s="174">
        <v>0.115</v>
      </c>
      <c r="K16" s="174">
        <v>0.10249999999999999</v>
      </c>
      <c r="L16" s="174">
        <v>0.1011</v>
      </c>
      <c r="M16" s="174">
        <v>9.6199999999999994E-2</v>
      </c>
      <c r="N16" s="174">
        <v>9.1899999999999996E-2</v>
      </c>
      <c r="O16" s="175">
        <v>9.1200000000000003E-2</v>
      </c>
      <c r="T16" s="17" t="str">
        <f>"CURRENTLY RUNNING: "&amp;UPPER(CHOOSE(Scenarios!$E$5,Scenarios!$D$11,Scenarios!$D$12,Scenarios!$D$13))&amp;" SCENARIO"</f>
        <v>CURRENTLY RUNNING: BASE CASE SCENARIO</v>
      </c>
    </row>
    <row r="17" spans="3:32" ht="14" customHeight="1" x14ac:dyDescent="0.2">
      <c r="C17" s="172" t="s">
        <v>255</v>
      </c>
      <c r="D17" s="21"/>
      <c r="E17" s="21"/>
      <c r="F17" s="184">
        <v>0.36759999999999998</v>
      </c>
      <c r="G17" s="174">
        <v>0.34639999999999999</v>
      </c>
      <c r="H17" s="174">
        <v>0.34260000000000002</v>
      </c>
      <c r="I17" s="174">
        <v>0.3135</v>
      </c>
      <c r="J17" s="174">
        <v>0.36630000000000001</v>
      </c>
      <c r="K17" s="174">
        <v>0.34520000000000001</v>
      </c>
      <c r="L17" s="174">
        <v>0.3468</v>
      </c>
      <c r="M17" s="174">
        <v>0.34820000000000001</v>
      </c>
      <c r="N17" s="174">
        <v>0.3483</v>
      </c>
      <c r="O17" s="175">
        <v>0.3483</v>
      </c>
      <c r="T17" s="26" t="s">
        <v>251</v>
      </c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</row>
    <row r="18" spans="3:32" ht="14" customHeight="1" x14ac:dyDescent="0.2">
      <c r="C18" s="172" t="s">
        <v>55</v>
      </c>
      <c r="D18" s="21"/>
      <c r="E18" s="21"/>
      <c r="F18" s="186">
        <v>0.32590000000000002</v>
      </c>
      <c r="G18" s="187">
        <v>0.33850000000000002</v>
      </c>
      <c r="H18" s="187">
        <v>0.3286</v>
      </c>
      <c r="I18" s="187">
        <v>0.39419999999999999</v>
      </c>
      <c r="J18" s="187">
        <v>0.61339999999999995</v>
      </c>
      <c r="K18" s="187">
        <v>0.55010000000000003</v>
      </c>
      <c r="L18" s="187">
        <v>0.52659999999999996</v>
      </c>
      <c r="M18" s="187">
        <v>0.4854</v>
      </c>
      <c r="N18" s="187">
        <v>0.43959999999999999</v>
      </c>
      <c r="O18" s="188">
        <v>0.39439999999999997</v>
      </c>
      <c r="T18" s="165"/>
      <c r="U18" s="165"/>
      <c r="V18" s="165"/>
      <c r="W18" s="32"/>
      <c r="X18" s="32"/>
      <c r="Y18" s="32"/>
      <c r="Z18" s="32"/>
      <c r="AA18" s="32"/>
      <c r="AB18" s="166" t="s">
        <v>7</v>
      </c>
      <c r="AC18" s="167"/>
      <c r="AD18" s="167"/>
      <c r="AE18" s="167"/>
      <c r="AF18" s="167"/>
    </row>
    <row r="19" spans="3:32" ht="14" customHeight="1" x14ac:dyDescent="0.2">
      <c r="C19" s="168"/>
      <c r="O19" s="169"/>
      <c r="U19" s="176"/>
      <c r="V19" s="176"/>
      <c r="W19" s="15"/>
      <c r="X19" s="15"/>
      <c r="Y19" s="15"/>
      <c r="Z19" s="15"/>
      <c r="AA19" s="15"/>
      <c r="AB19" s="15"/>
      <c r="AC19" s="15"/>
      <c r="AD19" s="15"/>
      <c r="AE19" s="15"/>
      <c r="AF19" s="124"/>
    </row>
    <row r="20" spans="3:32" ht="14" customHeight="1" x14ac:dyDescent="0.2">
      <c r="C20" s="75" t="s">
        <v>235</v>
      </c>
      <c r="D20" s="76"/>
      <c r="E20" s="76"/>
      <c r="F20" s="179">
        <v>244.55</v>
      </c>
      <c r="G20" s="176"/>
      <c r="H20" s="176"/>
      <c r="I20" s="176"/>
      <c r="J20" s="176"/>
      <c r="K20" s="176"/>
      <c r="L20" s="176"/>
      <c r="M20" s="176"/>
      <c r="N20" s="176"/>
      <c r="O20" s="177"/>
      <c r="T20" s="164"/>
      <c r="U20" s="165"/>
      <c r="V20" s="165"/>
      <c r="W20" s="190">
        <f>X20-1</f>
        <v>2021</v>
      </c>
      <c r="X20" s="190">
        <f>Y20-1</f>
        <v>2022</v>
      </c>
      <c r="Y20" s="190">
        <f>Z20-1</f>
        <v>2023</v>
      </c>
      <c r="Z20" s="190">
        <f>AA20-1</f>
        <v>2024</v>
      </c>
      <c r="AA20" s="190">
        <f>AB20-1</f>
        <v>2025</v>
      </c>
      <c r="AB20" s="76">
        <f>Assumptions!$G$4</f>
        <v>2026</v>
      </c>
      <c r="AC20" s="49">
        <f>AB20+1</f>
        <v>2027</v>
      </c>
      <c r="AD20" s="49">
        <f>AC20+1</f>
        <v>2028</v>
      </c>
      <c r="AE20" s="49">
        <f>AD20+1</f>
        <v>2029</v>
      </c>
      <c r="AF20" s="50">
        <f>AE20+1</f>
        <v>2030</v>
      </c>
    </row>
    <row r="21" spans="3:32" ht="14" customHeight="1" x14ac:dyDescent="0.2">
      <c r="T21" s="168"/>
      <c r="AF21" s="169"/>
    </row>
    <row r="22" spans="3:32" ht="14" customHeight="1" x14ac:dyDescent="0.2">
      <c r="T22" s="168" t="s">
        <v>252</v>
      </c>
      <c r="W22" s="170">
        <f>Model!H79</f>
        <v>15785</v>
      </c>
      <c r="X22" s="170">
        <f>Model!I79</f>
        <v>17606</v>
      </c>
      <c r="Y22" s="170">
        <f>Model!J79</f>
        <v>19409</v>
      </c>
      <c r="Z22" s="170">
        <f>Model!K79</f>
        <v>21505</v>
      </c>
      <c r="AA22" s="170">
        <f>Model!L79</f>
        <v>23769</v>
      </c>
      <c r="AB22" s="170">
        <f>Model!M79</f>
        <v>26294.531250000004</v>
      </c>
      <c r="AC22" s="170">
        <f>Model!N79</f>
        <v>28946.096770833341</v>
      </c>
      <c r="AD22" s="170">
        <f>Model!O79</f>
        <v>31723.046221875007</v>
      </c>
      <c r="AE22" s="170">
        <f>Model!P79</f>
        <v>34633.937212853132</v>
      </c>
      <c r="AF22" s="171">
        <f>Model!Q79</f>
        <v>37789.849051205412</v>
      </c>
    </row>
    <row r="23" spans="3:32" ht="14" customHeight="1" x14ac:dyDescent="0.2">
      <c r="C23" s="26" t="s">
        <v>257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T23" s="172"/>
      <c r="U23" s="21" t="s">
        <v>12</v>
      </c>
      <c r="V23" s="21"/>
      <c r="W23" s="21"/>
      <c r="X23" s="91">
        <f>(X22-W22)/W22</f>
        <v>0.11536268609439342</v>
      </c>
      <c r="Y23" s="91">
        <f t="shared" ref="Y23:AF23" si="0">(Y22-X22)/X22</f>
        <v>0.10240826990798592</v>
      </c>
      <c r="Z23" s="91">
        <f t="shared" si="0"/>
        <v>0.10799113813179453</v>
      </c>
      <c r="AA23" s="91">
        <f t="shared" si="0"/>
        <v>0.10527784236224134</v>
      </c>
      <c r="AB23" s="91">
        <f t="shared" si="0"/>
        <v>0.10625315537044064</v>
      </c>
      <c r="AC23" s="91">
        <f t="shared" si="0"/>
        <v>0.1008409503718891</v>
      </c>
      <c r="AD23" s="91">
        <f t="shared" si="0"/>
        <v>9.5935195443683285E-2</v>
      </c>
      <c r="AE23" s="91">
        <f t="shared" si="0"/>
        <v>9.1759504135226627E-2</v>
      </c>
      <c r="AF23" s="173">
        <f t="shared" si="0"/>
        <v>9.1121948364019018E-2</v>
      </c>
    </row>
    <row r="24" spans="3:32" ht="14" customHeight="1" x14ac:dyDescent="0.2">
      <c r="C24" s="165"/>
      <c r="D24" s="165"/>
      <c r="E24" s="165"/>
      <c r="F24" s="32"/>
      <c r="G24" s="32"/>
      <c r="H24" s="32"/>
      <c r="I24" s="32"/>
      <c r="J24" s="32"/>
      <c r="K24" s="166" t="s">
        <v>7</v>
      </c>
      <c r="L24" s="167"/>
      <c r="M24" s="167"/>
      <c r="N24" s="167"/>
      <c r="O24" s="167"/>
      <c r="T24" s="168" t="s">
        <v>253</v>
      </c>
      <c r="W24" s="170">
        <f>Model!H94</f>
        <v>4822</v>
      </c>
      <c r="X24" s="170">
        <f>Model!I94</f>
        <v>4756</v>
      </c>
      <c r="Y24" s="170">
        <f>Model!J94</f>
        <v>5428</v>
      </c>
      <c r="Z24" s="170">
        <f>Model!K94</f>
        <v>5560</v>
      </c>
      <c r="AA24" s="170">
        <f>Model!L94</f>
        <v>7130</v>
      </c>
      <c r="AB24" s="170">
        <f>Model!M94</f>
        <v>7120.1094083333328</v>
      </c>
      <c r="AC24" s="170">
        <f>Model!N94</f>
        <v>7923.04131929709</v>
      </c>
      <c r="AD24" s="170">
        <f>Model!O94</f>
        <v>8769.0078314462826</v>
      </c>
      <c r="AE24" s="170">
        <f>Model!P94</f>
        <v>9646.3754420274126</v>
      </c>
      <c r="AF24" s="171">
        <f>Model!Q94</f>
        <v>10576.86005383615</v>
      </c>
    </row>
    <row r="25" spans="3:32" ht="14" customHeight="1" x14ac:dyDescent="0.2">
      <c r="D25" s="176"/>
      <c r="E25" s="176"/>
      <c r="F25" s="15"/>
      <c r="G25" s="15"/>
      <c r="H25" s="15"/>
      <c r="I25" s="15"/>
      <c r="J25" s="15"/>
      <c r="K25" s="15"/>
      <c r="L25" s="15"/>
      <c r="M25" s="15"/>
      <c r="N25" s="15"/>
      <c r="O25" s="124"/>
      <c r="T25" s="168"/>
      <c r="U25" s="21" t="s">
        <v>12</v>
      </c>
      <c r="V25" s="21"/>
      <c r="W25" s="21"/>
      <c r="X25" s="91">
        <f>Model!I95</f>
        <v>-1.3687266694317711E-2</v>
      </c>
      <c r="Y25" s="91">
        <f>Model!J95</f>
        <v>0.14129520605550883</v>
      </c>
      <c r="Z25" s="91">
        <f>Model!K95</f>
        <v>2.4318349299926309E-2</v>
      </c>
      <c r="AA25" s="91">
        <f>Model!L95</f>
        <v>0.28237410071942448</v>
      </c>
      <c r="AB25" s="91">
        <f>Model!M95</f>
        <v>-1.3871797568958213E-3</v>
      </c>
      <c r="AC25" s="91">
        <f>Model!N95</f>
        <v>0.11276960295357408</v>
      </c>
      <c r="AD25" s="91">
        <f>Model!O95</f>
        <v>0.10677295221076095</v>
      </c>
      <c r="AE25" s="91">
        <f>Model!P95</f>
        <v>0.10005323606107726</v>
      </c>
      <c r="AF25" s="173">
        <f>Model!Q95</f>
        <v>9.6459506205283457E-2</v>
      </c>
    </row>
    <row r="26" spans="3:32" ht="14" customHeight="1" x14ac:dyDescent="0.2">
      <c r="C26" s="164"/>
      <c r="D26" s="165"/>
      <c r="E26" s="165"/>
      <c r="F26" s="178">
        <f>G26-1</f>
        <v>2021</v>
      </c>
      <c r="G26" s="178">
        <f>H26-1</f>
        <v>2022</v>
      </c>
      <c r="H26" s="178">
        <f>I26-1</f>
        <v>2023</v>
      </c>
      <c r="I26" s="178">
        <f>J26-1</f>
        <v>2024</v>
      </c>
      <c r="J26" s="178">
        <f>K26-1</f>
        <v>2025</v>
      </c>
      <c r="K26" s="138">
        <f>Assumptions!$G$4</f>
        <v>2026</v>
      </c>
      <c r="L26" s="136">
        <f>K26+1</f>
        <v>2027</v>
      </c>
      <c r="M26" s="136">
        <f>L26+1</f>
        <v>2028</v>
      </c>
      <c r="N26" s="136">
        <f>M26+1</f>
        <v>2029</v>
      </c>
      <c r="O26" s="137">
        <f>N26+1</f>
        <v>2030</v>
      </c>
      <c r="T26" s="168" t="s">
        <v>254</v>
      </c>
      <c r="Z26" s="170">
        <f>Model!K32</f>
        <v>22600.896860986548</v>
      </c>
      <c r="AA26" s="170">
        <f>Model!L32</f>
        <v>25200</v>
      </c>
      <c r="AB26" s="170">
        <f>Model!M32</f>
        <v>27781.989339513326</v>
      </c>
      <c r="AC26" s="170">
        <f>Model!N32</f>
        <v>30591.324621850523</v>
      </c>
      <c r="AD26" s="170">
        <f>Model!O32</f>
        <v>33533.12392225529</v>
      </c>
      <c r="AE26" s="170">
        <f>Model!P32</f>
        <v>36614.512904709089</v>
      </c>
      <c r="AF26" s="171">
        <f>Model!Q32</f>
        <v>39954.044665185174</v>
      </c>
    </row>
    <row r="27" spans="3:32" ht="14" customHeight="1" x14ac:dyDescent="0.2">
      <c r="C27" s="168"/>
      <c r="O27" s="169"/>
      <c r="T27" s="172"/>
      <c r="U27" s="21" t="s">
        <v>12</v>
      </c>
      <c r="V27" s="21"/>
      <c r="W27" s="21"/>
      <c r="X27" s="21"/>
      <c r="Y27" s="21"/>
      <c r="Z27" s="91"/>
      <c r="AA27" s="91">
        <f>Model!L33</f>
        <v>0.11499999999999996</v>
      </c>
      <c r="AB27" s="91">
        <f>Model!M33</f>
        <v>0.10245989442513195</v>
      </c>
      <c r="AC27" s="91">
        <f>Model!N33</f>
        <v>0.10112073861973524</v>
      </c>
      <c r="AD27" s="91">
        <f>Model!O33</f>
        <v>9.6164495547980386E-2</v>
      </c>
      <c r="AE27" s="91">
        <f>Model!P33</f>
        <v>9.189090135466732E-2</v>
      </c>
      <c r="AF27" s="173">
        <f>Model!Q33</f>
        <v>9.1207870746973188E-2</v>
      </c>
    </row>
    <row r="28" spans="3:32" ht="14" customHeight="1" x14ac:dyDescent="0.2">
      <c r="C28" s="168" t="s">
        <v>252</v>
      </c>
      <c r="F28" s="181">
        <v>15785</v>
      </c>
      <c r="G28" s="182">
        <v>17606</v>
      </c>
      <c r="H28" s="182">
        <v>19409</v>
      </c>
      <c r="I28" s="182">
        <v>21505</v>
      </c>
      <c r="J28" s="182">
        <v>23769</v>
      </c>
      <c r="K28" s="182">
        <v>26447</v>
      </c>
      <c r="L28" s="182">
        <v>29152</v>
      </c>
      <c r="M28" s="182">
        <v>32095</v>
      </c>
      <c r="N28" s="182">
        <v>35247</v>
      </c>
      <c r="O28" s="183">
        <v>38710</v>
      </c>
      <c r="T28" s="172" t="s">
        <v>255</v>
      </c>
      <c r="U28" s="21"/>
      <c r="V28" s="21"/>
      <c r="W28" s="91">
        <f>Model!H98</f>
        <v>0.36756414317389929</v>
      </c>
      <c r="X28" s="91">
        <f>Model!I98</f>
        <v>0.34635919572872886</v>
      </c>
      <c r="Y28" s="91">
        <f>Model!J98</f>
        <v>0.3426245556185275</v>
      </c>
      <c r="Z28" s="91">
        <f>Model!K98</f>
        <v>0.31346198558474775</v>
      </c>
      <c r="AA28" s="91">
        <f>Model!L98</f>
        <v>0.36627540073204595</v>
      </c>
      <c r="AB28" s="91">
        <f>Model!M98</f>
        <v>0.34516997751829726</v>
      </c>
      <c r="AC28" s="91">
        <f>Model!N98</f>
        <v>0.34676765771841661</v>
      </c>
      <c r="AD28" s="91">
        <f>Model!O98</f>
        <v>0.34823792089795963</v>
      </c>
      <c r="AE28" s="91">
        <f>Model!P98</f>
        <v>0.34826781904749959</v>
      </c>
      <c r="AF28" s="173">
        <f>Model!Q98</f>
        <v>0.34831581919556603</v>
      </c>
    </row>
    <row r="29" spans="3:32" ht="14" customHeight="1" x14ac:dyDescent="0.2">
      <c r="C29" s="172"/>
      <c r="D29" s="21" t="s">
        <v>12</v>
      </c>
      <c r="E29" s="21"/>
      <c r="F29" s="184"/>
      <c r="G29" s="174">
        <v>0.1154</v>
      </c>
      <c r="H29" s="174">
        <v>0.1024</v>
      </c>
      <c r="I29" s="174">
        <v>0.108</v>
      </c>
      <c r="J29" s="174">
        <v>0.1053</v>
      </c>
      <c r="K29" s="174">
        <v>0.11269999999999999</v>
      </c>
      <c r="L29" s="174">
        <v>0.1023</v>
      </c>
      <c r="M29" s="174">
        <v>0.10100000000000001</v>
      </c>
      <c r="N29" s="174">
        <v>9.8199999999999996E-2</v>
      </c>
      <c r="O29" s="175">
        <v>9.8299999999999998E-2</v>
      </c>
      <c r="T29" s="172" t="s">
        <v>55</v>
      </c>
      <c r="U29" s="21"/>
      <c r="V29" s="21"/>
      <c r="W29" s="91">
        <f>Model!H99</f>
        <v>0.3258768669324863</v>
      </c>
      <c r="X29" s="91">
        <f>Model!I99</f>
        <v>0.33848124688634262</v>
      </c>
      <c r="Y29" s="91">
        <f>Model!J99</f>
        <v>0.32861121201113935</v>
      </c>
      <c r="Z29" s="91">
        <f>Model!K99</f>
        <v>0.39418645870258773</v>
      </c>
      <c r="AA29" s="91">
        <f>Model!L99</f>
        <v>0.61343887120364793</v>
      </c>
      <c r="AB29" s="91">
        <f>Model!M99</f>
        <v>0.55010810646080921</v>
      </c>
      <c r="AC29" s="91">
        <f>Model!N99</f>
        <v>0.52658260991280592</v>
      </c>
      <c r="AD29" s="91">
        <f>Model!O99</f>
        <v>0.48540995656195662</v>
      </c>
      <c r="AE29" s="91">
        <f>Model!P99</f>
        <v>0.43963997419423795</v>
      </c>
      <c r="AF29" s="173">
        <f>Model!Q99</f>
        <v>0.39438827068348498</v>
      </c>
    </row>
    <row r="30" spans="3:32" ht="14" customHeight="1" x14ac:dyDescent="0.2">
      <c r="C30" s="168" t="s">
        <v>253</v>
      </c>
      <c r="F30" s="185">
        <v>4822</v>
      </c>
      <c r="G30" s="170">
        <v>4756</v>
      </c>
      <c r="H30" s="170">
        <v>5428</v>
      </c>
      <c r="I30" s="170">
        <v>5560</v>
      </c>
      <c r="J30" s="170">
        <v>7130</v>
      </c>
      <c r="K30" s="170">
        <v>7163</v>
      </c>
      <c r="L30" s="170">
        <v>7982</v>
      </c>
      <c r="M30" s="170">
        <v>8875</v>
      </c>
      <c r="N30" s="170">
        <v>9821</v>
      </c>
      <c r="O30" s="171">
        <v>10840</v>
      </c>
      <c r="T30" s="168"/>
      <c r="AF30" s="169"/>
    </row>
    <row r="31" spans="3:32" ht="14" customHeight="1" x14ac:dyDescent="0.2">
      <c r="C31" s="168"/>
      <c r="D31" s="21" t="s">
        <v>12</v>
      </c>
      <c r="E31" s="21"/>
      <c r="F31" s="185"/>
      <c r="G31" s="174">
        <v>-1.37E-2</v>
      </c>
      <c r="H31" s="174">
        <v>0.14130000000000001</v>
      </c>
      <c r="I31" s="174">
        <v>2.4299999999999999E-2</v>
      </c>
      <c r="J31" s="174">
        <v>0.28239999999999998</v>
      </c>
      <c r="K31" s="174">
        <v>4.5999999999999999E-3</v>
      </c>
      <c r="L31" s="174">
        <v>0.1143</v>
      </c>
      <c r="M31" s="174">
        <v>0.1119</v>
      </c>
      <c r="N31" s="174">
        <v>0.1066</v>
      </c>
      <c r="O31" s="175">
        <v>0.1037</v>
      </c>
      <c r="T31" s="75" t="s">
        <v>235</v>
      </c>
      <c r="U31" s="76"/>
      <c r="V31" s="76"/>
      <c r="W31" s="179">
        <f>DCF!E23</f>
        <v>244.55377111402558</v>
      </c>
      <c r="X31" s="176"/>
      <c r="Y31" s="176"/>
      <c r="Z31" s="176"/>
      <c r="AA31" s="176"/>
      <c r="AB31" s="176"/>
      <c r="AC31" s="176"/>
      <c r="AD31" s="176"/>
      <c r="AE31" s="176"/>
      <c r="AF31" s="177"/>
    </row>
    <row r="32" spans="3:32" ht="14" customHeight="1" x14ac:dyDescent="0.2">
      <c r="C32" s="168" t="s">
        <v>254</v>
      </c>
      <c r="F32" s="185"/>
      <c r="G32" s="170"/>
      <c r="H32" s="170"/>
      <c r="I32" s="170">
        <v>22601</v>
      </c>
      <c r="J32" s="170">
        <v>25200</v>
      </c>
      <c r="K32" s="170">
        <v>27944</v>
      </c>
      <c r="L32" s="170">
        <v>30809</v>
      </c>
      <c r="M32" s="170">
        <v>33927</v>
      </c>
      <c r="N32" s="170">
        <v>37264</v>
      </c>
      <c r="O32" s="171">
        <v>40929</v>
      </c>
    </row>
    <row r="33" spans="3:15" ht="14" customHeight="1" x14ac:dyDescent="0.2">
      <c r="C33" s="172"/>
      <c r="D33" s="21" t="s">
        <v>12</v>
      </c>
      <c r="E33" s="21"/>
      <c r="F33" s="185"/>
      <c r="G33" s="170"/>
      <c r="H33" s="170"/>
      <c r="I33" s="174"/>
      <c r="J33" s="174">
        <v>0.115</v>
      </c>
      <c r="K33" s="174">
        <v>0.1089</v>
      </c>
      <c r="L33" s="174">
        <v>0.10249999999999999</v>
      </c>
      <c r="M33" s="174">
        <v>0.1012</v>
      </c>
      <c r="N33" s="174">
        <v>9.8299999999999998E-2</v>
      </c>
      <c r="O33" s="175">
        <v>9.8400000000000001E-2</v>
      </c>
    </row>
    <row r="34" spans="3:15" ht="14" customHeight="1" x14ac:dyDescent="0.2">
      <c r="C34" s="172" t="s">
        <v>255</v>
      </c>
      <c r="D34" s="21"/>
      <c r="E34" s="21"/>
      <c r="F34" s="184">
        <v>0.36759999999999998</v>
      </c>
      <c r="G34" s="174">
        <v>0.34639999999999999</v>
      </c>
      <c r="H34" s="174">
        <v>0.34260000000000002</v>
      </c>
      <c r="I34" s="174">
        <v>0.3135</v>
      </c>
      <c r="J34" s="174">
        <v>0.36630000000000001</v>
      </c>
      <c r="K34" s="174">
        <v>0.34520000000000001</v>
      </c>
      <c r="L34" s="174">
        <v>0.3468</v>
      </c>
      <c r="M34" s="174">
        <v>0.3483</v>
      </c>
      <c r="N34" s="174">
        <v>0.3483</v>
      </c>
      <c r="O34" s="175">
        <v>0.34839999999999999</v>
      </c>
    </row>
    <row r="35" spans="3:15" ht="14" customHeight="1" x14ac:dyDescent="0.2">
      <c r="C35" s="172" t="s">
        <v>55</v>
      </c>
      <c r="D35" s="21"/>
      <c r="E35" s="21"/>
      <c r="F35" s="186">
        <v>0.32590000000000002</v>
      </c>
      <c r="G35" s="187">
        <v>0.33850000000000002</v>
      </c>
      <c r="H35" s="187">
        <v>0.3286</v>
      </c>
      <c r="I35" s="187">
        <v>0.39419999999999999</v>
      </c>
      <c r="J35" s="187">
        <v>0.61339999999999995</v>
      </c>
      <c r="K35" s="187">
        <v>0.55159999999999998</v>
      </c>
      <c r="L35" s="187">
        <v>0.52690000000000003</v>
      </c>
      <c r="M35" s="187">
        <v>0.48570000000000002</v>
      </c>
      <c r="N35" s="187">
        <v>0.43990000000000001</v>
      </c>
      <c r="O35" s="188">
        <v>0.3947</v>
      </c>
    </row>
    <row r="36" spans="3:15" ht="14" customHeight="1" x14ac:dyDescent="0.2">
      <c r="C36" s="168"/>
      <c r="O36" s="169"/>
    </row>
    <row r="37" spans="3:15" ht="14" customHeight="1" x14ac:dyDescent="0.2">
      <c r="C37" s="75" t="s">
        <v>235</v>
      </c>
      <c r="D37" s="76"/>
      <c r="E37" s="76"/>
      <c r="F37" s="179">
        <v>246.33</v>
      </c>
      <c r="G37" s="176"/>
      <c r="H37" s="176"/>
      <c r="I37" s="176"/>
      <c r="J37" s="176"/>
      <c r="K37" s="176"/>
      <c r="L37" s="176"/>
      <c r="M37" s="176"/>
      <c r="N37" s="176"/>
      <c r="O37" s="177"/>
    </row>
    <row r="38" spans="3:15" ht="14" customHeight="1" x14ac:dyDescent="0.2">
      <c r="C38" s="10"/>
      <c r="D38" s="10"/>
      <c r="E38" s="10"/>
      <c r="F38" s="189"/>
    </row>
    <row r="40" spans="3:15" ht="14" customHeight="1" x14ac:dyDescent="0.2">
      <c r="C40" s="26" t="s">
        <v>259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3:15" ht="14" customHeight="1" x14ac:dyDescent="0.2">
      <c r="C41" s="165"/>
      <c r="D41" s="165"/>
      <c r="E41" s="165"/>
      <c r="F41" s="32"/>
      <c r="G41" s="32"/>
      <c r="H41" s="32"/>
      <c r="I41" s="32"/>
      <c r="J41" s="32"/>
      <c r="K41" s="166" t="s">
        <v>7</v>
      </c>
      <c r="L41" s="167"/>
      <c r="M41" s="167"/>
      <c r="N41" s="167"/>
      <c r="O41" s="167"/>
    </row>
    <row r="42" spans="3:15" ht="14" customHeight="1" x14ac:dyDescent="0.2">
      <c r="D42" s="176"/>
      <c r="E42" s="176"/>
      <c r="F42" s="15"/>
      <c r="G42" s="15"/>
      <c r="H42" s="15"/>
      <c r="I42" s="15"/>
      <c r="J42" s="15"/>
      <c r="K42" s="15"/>
      <c r="L42" s="15"/>
      <c r="M42" s="15"/>
      <c r="N42" s="15"/>
      <c r="O42" s="124"/>
    </row>
    <row r="43" spans="3:15" ht="14" customHeight="1" x14ac:dyDescent="0.2">
      <c r="C43" s="164"/>
      <c r="D43" s="165"/>
      <c r="E43" s="165"/>
      <c r="F43" s="178">
        <f>G43-1</f>
        <v>2021</v>
      </c>
      <c r="G43" s="178">
        <f>H43-1</f>
        <v>2022</v>
      </c>
      <c r="H43" s="178">
        <f>I43-1</f>
        <v>2023</v>
      </c>
      <c r="I43" s="178">
        <f>J43-1</f>
        <v>2024</v>
      </c>
      <c r="J43" s="178">
        <f>K43-1</f>
        <v>2025</v>
      </c>
      <c r="K43" s="138">
        <f>Assumptions!$G$4</f>
        <v>2026</v>
      </c>
      <c r="L43" s="136">
        <f>K43+1</f>
        <v>2027</v>
      </c>
      <c r="M43" s="136">
        <f>L43+1</f>
        <v>2028</v>
      </c>
      <c r="N43" s="136">
        <f>M43+1</f>
        <v>2029</v>
      </c>
      <c r="O43" s="137">
        <f>N43+1</f>
        <v>2030</v>
      </c>
    </row>
    <row r="44" spans="3:15" ht="14" customHeight="1" x14ac:dyDescent="0.2">
      <c r="C44" s="168"/>
      <c r="O44" s="169"/>
    </row>
    <row r="45" spans="3:15" ht="14" customHeight="1" x14ac:dyDescent="0.2">
      <c r="C45" s="168" t="s">
        <v>252</v>
      </c>
      <c r="F45" s="181">
        <v>15785</v>
      </c>
      <c r="G45" s="182">
        <v>17606</v>
      </c>
      <c r="H45" s="182">
        <v>19409</v>
      </c>
      <c r="I45" s="182">
        <v>21505</v>
      </c>
      <c r="J45" s="182">
        <v>23769</v>
      </c>
      <c r="K45" s="182">
        <v>26057</v>
      </c>
      <c r="L45" s="182">
        <v>28277</v>
      </c>
      <c r="M45" s="182">
        <v>30526</v>
      </c>
      <c r="N45" s="182">
        <v>32849</v>
      </c>
      <c r="O45" s="183">
        <v>35140</v>
      </c>
    </row>
    <row r="46" spans="3:15" ht="14" customHeight="1" x14ac:dyDescent="0.2">
      <c r="C46" s="172"/>
      <c r="D46" s="21" t="s">
        <v>12</v>
      </c>
      <c r="E46" s="21"/>
      <c r="F46" s="184"/>
      <c r="G46" s="174">
        <v>0.1154</v>
      </c>
      <c r="H46" s="174">
        <v>0.1024</v>
      </c>
      <c r="I46" s="174">
        <v>0.108</v>
      </c>
      <c r="J46" s="174">
        <v>0.1053</v>
      </c>
      <c r="K46" s="174">
        <v>9.6299999999999997E-2</v>
      </c>
      <c r="L46" s="174">
        <v>8.5199999999999998E-2</v>
      </c>
      <c r="M46" s="174">
        <v>7.9500000000000001E-2</v>
      </c>
      <c r="N46" s="174">
        <v>7.6100000000000001E-2</v>
      </c>
      <c r="O46" s="175">
        <v>6.9699999999999998E-2</v>
      </c>
    </row>
    <row r="47" spans="3:15" ht="14" customHeight="1" x14ac:dyDescent="0.2">
      <c r="C47" s="168" t="s">
        <v>253</v>
      </c>
      <c r="F47" s="185">
        <v>4822</v>
      </c>
      <c r="G47" s="170">
        <v>4756</v>
      </c>
      <c r="H47" s="170">
        <v>5428</v>
      </c>
      <c r="I47" s="170">
        <v>5560</v>
      </c>
      <c r="J47" s="170">
        <v>7130</v>
      </c>
      <c r="K47" s="170">
        <v>7053</v>
      </c>
      <c r="L47" s="170">
        <v>7734</v>
      </c>
      <c r="M47" s="170">
        <v>8429</v>
      </c>
      <c r="N47" s="170">
        <v>9137</v>
      </c>
      <c r="O47" s="171">
        <v>9819</v>
      </c>
    </row>
    <row r="48" spans="3:15" ht="14" customHeight="1" x14ac:dyDescent="0.2">
      <c r="C48" s="168"/>
      <c r="D48" s="21" t="s">
        <v>12</v>
      </c>
      <c r="E48" s="21"/>
      <c r="F48" s="185"/>
      <c r="G48" s="174">
        <v>-1.37E-2</v>
      </c>
      <c r="H48" s="174">
        <v>0.14130000000000001</v>
      </c>
      <c r="I48" s="174">
        <v>2.4299999999999999E-2</v>
      </c>
      <c r="J48" s="174">
        <v>0.28239999999999998</v>
      </c>
      <c r="K48" s="174">
        <v>-1.0800000000000001E-2</v>
      </c>
      <c r="L48" s="174">
        <v>9.6500000000000002E-2</v>
      </c>
      <c r="M48" s="174">
        <v>8.9899999999999994E-2</v>
      </c>
      <c r="N48" s="174">
        <v>8.4000000000000005E-2</v>
      </c>
      <c r="O48" s="175">
        <v>7.46E-2</v>
      </c>
    </row>
    <row r="49" spans="3:15" ht="14" customHeight="1" x14ac:dyDescent="0.2">
      <c r="C49" s="168" t="s">
        <v>254</v>
      </c>
      <c r="F49" s="185"/>
      <c r="G49" s="170"/>
      <c r="H49" s="170"/>
      <c r="I49" s="170">
        <v>22601</v>
      </c>
      <c r="J49" s="170">
        <v>25200</v>
      </c>
      <c r="K49" s="170">
        <v>27531</v>
      </c>
      <c r="L49" s="170">
        <v>29885</v>
      </c>
      <c r="M49" s="170">
        <v>32269</v>
      </c>
      <c r="N49" s="170">
        <v>34729</v>
      </c>
      <c r="O49" s="171">
        <v>37154</v>
      </c>
    </row>
    <row r="50" spans="3:15" ht="14" customHeight="1" x14ac:dyDescent="0.2">
      <c r="C50" s="172"/>
      <c r="D50" s="21" t="s">
        <v>12</v>
      </c>
      <c r="E50" s="21"/>
      <c r="F50" s="185"/>
      <c r="G50" s="170"/>
      <c r="H50" s="170"/>
      <c r="I50" s="174"/>
      <c r="J50" s="174">
        <v>0.115</v>
      </c>
      <c r="K50" s="174">
        <v>9.2499999999999999E-2</v>
      </c>
      <c r="L50" s="174">
        <v>8.5500000000000007E-2</v>
      </c>
      <c r="M50" s="174">
        <v>7.9799999999999996E-2</v>
      </c>
      <c r="N50" s="174">
        <v>7.6200000000000004E-2</v>
      </c>
      <c r="O50" s="175">
        <v>6.9800000000000001E-2</v>
      </c>
    </row>
    <row r="51" spans="3:15" ht="14" customHeight="1" x14ac:dyDescent="0.2">
      <c r="C51" s="172" t="s">
        <v>255</v>
      </c>
      <c r="D51" s="21"/>
      <c r="E51" s="21"/>
      <c r="F51" s="184">
        <v>0.36759999999999998</v>
      </c>
      <c r="G51" s="174">
        <v>0.34639999999999999</v>
      </c>
      <c r="H51" s="174">
        <v>0.34260000000000002</v>
      </c>
      <c r="I51" s="174">
        <v>0.3135</v>
      </c>
      <c r="J51" s="174">
        <v>0.36630000000000001</v>
      </c>
      <c r="K51" s="174">
        <v>0.34510000000000002</v>
      </c>
      <c r="L51" s="174">
        <v>0.34660000000000002</v>
      </c>
      <c r="M51" s="174">
        <v>0.34810000000000002</v>
      </c>
      <c r="N51" s="174">
        <v>0.34810000000000002</v>
      </c>
      <c r="O51" s="175">
        <v>0.34810000000000002</v>
      </c>
    </row>
    <row r="52" spans="3:15" ht="14" customHeight="1" x14ac:dyDescent="0.2">
      <c r="C52" s="172" t="s">
        <v>55</v>
      </c>
      <c r="D52" s="21"/>
      <c r="E52" s="21"/>
      <c r="F52" s="186">
        <v>0.32590000000000002</v>
      </c>
      <c r="G52" s="187">
        <v>0.33850000000000002</v>
      </c>
      <c r="H52" s="187">
        <v>0.3286</v>
      </c>
      <c r="I52" s="187">
        <v>0.39419999999999999</v>
      </c>
      <c r="J52" s="187">
        <v>0.61339999999999995</v>
      </c>
      <c r="K52" s="187">
        <v>0.54779999999999995</v>
      </c>
      <c r="L52" s="187">
        <v>0.52290000000000003</v>
      </c>
      <c r="M52" s="187">
        <v>0.48249999999999998</v>
      </c>
      <c r="N52" s="187">
        <v>0.4385</v>
      </c>
      <c r="O52" s="188">
        <v>0.39350000000000002</v>
      </c>
    </row>
    <row r="53" spans="3:15" ht="14" customHeight="1" x14ac:dyDescent="0.2">
      <c r="C53" s="168"/>
      <c r="O53" s="169"/>
    </row>
    <row r="54" spans="3:15" ht="14" customHeight="1" x14ac:dyDescent="0.2">
      <c r="C54" s="75" t="s">
        <v>235</v>
      </c>
      <c r="D54" s="76"/>
      <c r="E54" s="76"/>
      <c r="F54" s="179">
        <v>240.85</v>
      </c>
      <c r="G54" s="176"/>
      <c r="H54" s="176"/>
      <c r="I54" s="176"/>
      <c r="J54" s="176"/>
      <c r="K54" s="176"/>
      <c r="L54" s="176"/>
      <c r="M54" s="176"/>
      <c r="N54" s="176"/>
      <c r="O54" s="17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75E49AB-D2A9-FF4E-A0A5-8A82EDA08A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Summary!F11:O11</xm:f>
              <xm:sqref>E11</xm:sqref>
            </x14:sparkline>
          </x14:sparklines>
        </x14:sparklineGroup>
        <x14:sparklineGroup displayEmptyCellsAs="gap" high="1" low="1" xr2:uid="{0112D461-F2D1-A640-82B1-CA82E21044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Summary!F13:O13</xm:f>
              <xm:sqref>E13</xm:sqref>
            </x14:sparkline>
          </x14:sparklines>
        </x14:sparklineGroup>
        <x14:sparklineGroup displayEmptyCellsAs="gap" high="1" low="1" xr2:uid="{DD6F83D5-DA64-EC4F-9765-3876722FBA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Summary!I15:O15</xm:f>
              <xm:sqref>E15</xm:sqref>
            </x14:sparkline>
          </x14:sparklines>
        </x14:sparklineGroup>
        <x14:sparklineGroup displayEmptyCellsAs="gap" high="1" low="1" xr2:uid="{7E3543DE-D555-4947-9D95-C88D06C24B2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Summary!I32:O32</xm:f>
              <xm:sqref>E32</xm:sqref>
            </x14:sparkline>
          </x14:sparklines>
        </x14:sparklineGroup>
        <x14:sparklineGroup displayEmptyCellsAs="gap" high="1" low="1" xr2:uid="{4E73AD7A-DEC8-CF4C-AF8B-5B55D69453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Summary!F30:O30</xm:f>
              <xm:sqref>E30</xm:sqref>
            </x14:sparkline>
          </x14:sparklines>
        </x14:sparklineGroup>
        <x14:sparklineGroup displayEmptyCellsAs="gap" high="1" low="1" xr2:uid="{97B9DAE0-7814-7F42-A1C3-E389633F8D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Summary!F28:O28</xm:f>
              <xm:sqref>E28</xm:sqref>
            </x14:sparkline>
          </x14:sparklines>
        </x14:sparklineGroup>
        <x14:sparklineGroup displayEmptyCellsAs="gap" high="1" low="1" xr2:uid="{252A4AD9-3931-E445-834F-51DE6C16DC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Summary!F45:O45</xm:f>
              <xm:sqref>E45</xm:sqref>
            </x14:sparkline>
          </x14:sparklines>
        </x14:sparklineGroup>
        <x14:sparklineGroup displayEmptyCellsAs="gap" high="1" low="1" xr2:uid="{511BD2E7-ADA1-F341-A212-E19900E49A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Summary!F47:O47</xm:f>
              <xm:sqref>E47</xm:sqref>
            </x14:sparkline>
          </x14:sparklines>
        </x14:sparklineGroup>
        <x14:sparklineGroup displayEmptyCellsAs="gap" high="1" low="1" xr2:uid="{888548DC-0A9E-F840-BBBD-82F55781EE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Summary!I49:O49</xm:f>
              <xm:sqref>E49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D7B6-F48C-2A49-AF74-5E37BB0A7C96}">
  <dimension ref="B4:V47"/>
  <sheetViews>
    <sheetView showGridLines="0" zoomScale="120" zoomScaleNormal="120" workbookViewId="0">
      <selection activeCell="G13" sqref="G13"/>
    </sheetView>
  </sheetViews>
  <sheetFormatPr baseColWidth="10" defaultRowHeight="14" x14ac:dyDescent="0.2"/>
  <cols>
    <col min="1" max="1" width="4.83203125" style="4" customWidth="1"/>
    <col min="2" max="3" width="2.83203125" style="4" customWidth="1"/>
    <col min="4" max="4" width="10.83203125" style="4"/>
    <col min="5" max="5" width="9.5" style="4" customWidth="1"/>
    <col min="6" max="6" width="8.83203125" style="4" customWidth="1"/>
    <col min="7" max="7" width="10.83203125" style="4" customWidth="1"/>
    <col min="8" max="8" width="4.83203125" style="18" customWidth="1"/>
    <col min="9" max="10" width="10.83203125" style="4"/>
    <col min="11" max="12" width="2.83203125" style="4" customWidth="1"/>
    <col min="13" max="13" width="10.83203125" style="4"/>
    <col min="14" max="14" width="4.83203125" style="4" customWidth="1"/>
    <col min="15" max="17" width="10.83203125" style="4" customWidth="1"/>
    <col min="18" max="18" width="10.83203125" style="4"/>
    <col min="19" max="21" width="10.83203125" style="4" customWidth="1"/>
    <col min="22" max="22" width="10.83203125" style="18" customWidth="1"/>
    <col min="23" max="16384" width="10.83203125" style="4"/>
  </cols>
  <sheetData>
    <row r="4" spans="2:22" x14ac:dyDescent="0.2">
      <c r="B4" s="31" t="s">
        <v>1</v>
      </c>
      <c r="C4" s="32"/>
      <c r="D4" s="32"/>
      <c r="E4" s="32"/>
      <c r="F4" s="32"/>
      <c r="G4" s="127">
        <v>2026</v>
      </c>
      <c r="I4" s="31" t="s">
        <v>106</v>
      </c>
      <c r="J4" s="32"/>
      <c r="K4" s="32"/>
      <c r="L4" s="32"/>
      <c r="M4" s="152">
        <v>0.73499999999999999</v>
      </c>
      <c r="O4" s="135" t="s">
        <v>250</v>
      </c>
      <c r="P4" s="136"/>
      <c r="Q4" s="138" t="s">
        <v>6</v>
      </c>
      <c r="R4" s="136">
        <f>$G$4</f>
        <v>2026</v>
      </c>
      <c r="S4" s="136">
        <f>R4+1</f>
        <v>2027</v>
      </c>
      <c r="T4" s="136">
        <f>S4+1</f>
        <v>2028</v>
      </c>
      <c r="U4" s="136">
        <f>T4+1</f>
        <v>2029</v>
      </c>
      <c r="V4" s="137">
        <f>U4+1</f>
        <v>2030</v>
      </c>
    </row>
    <row r="5" spans="2:22" x14ac:dyDescent="0.2">
      <c r="B5" s="55" t="s">
        <v>68</v>
      </c>
      <c r="G5" s="128">
        <v>0.2</v>
      </c>
      <c r="I5" s="55"/>
      <c r="M5" s="72"/>
      <c r="O5" s="55" t="s">
        <v>216</v>
      </c>
      <c r="R5" s="45">
        <v>250</v>
      </c>
      <c r="S5" s="45">
        <v>220</v>
      </c>
      <c r="T5" s="45">
        <v>100</v>
      </c>
      <c r="U5" s="45">
        <v>180</v>
      </c>
      <c r="V5" s="130">
        <v>160</v>
      </c>
    </row>
    <row r="6" spans="2:22" x14ac:dyDescent="0.2">
      <c r="B6" s="56" t="s">
        <v>105</v>
      </c>
      <c r="C6" s="15"/>
      <c r="D6" s="15"/>
      <c r="E6" s="37"/>
      <c r="F6" s="37"/>
      <c r="G6" s="129">
        <v>0.96</v>
      </c>
      <c r="I6" s="56"/>
      <c r="J6" s="15"/>
      <c r="K6" s="15"/>
      <c r="L6" s="15"/>
      <c r="M6" s="80"/>
      <c r="O6" s="55" t="s">
        <v>193</v>
      </c>
      <c r="R6" s="45">
        <v>100</v>
      </c>
      <c r="S6" s="45">
        <v>95</v>
      </c>
      <c r="T6" s="45">
        <v>90</v>
      </c>
      <c r="U6" s="45">
        <v>87</v>
      </c>
      <c r="V6" s="130">
        <v>85</v>
      </c>
    </row>
    <row r="7" spans="2:22" x14ac:dyDescent="0.2">
      <c r="O7" s="55" t="s">
        <v>202</v>
      </c>
      <c r="P7" s="18"/>
      <c r="R7" s="45">
        <v>161</v>
      </c>
      <c r="S7" s="45">
        <v>119</v>
      </c>
      <c r="T7" s="45">
        <v>73</v>
      </c>
      <c r="U7" s="45">
        <v>69</v>
      </c>
      <c r="V7" s="130">
        <v>65</v>
      </c>
    </row>
    <row r="8" spans="2:22" x14ac:dyDescent="0.2">
      <c r="B8" s="135" t="s">
        <v>189</v>
      </c>
      <c r="C8" s="136"/>
      <c r="D8" s="136"/>
      <c r="E8" s="136"/>
      <c r="F8" s="136"/>
      <c r="G8" s="137"/>
      <c r="I8" s="135" t="s">
        <v>190</v>
      </c>
      <c r="J8" s="136"/>
      <c r="K8" s="136"/>
      <c r="L8" s="136"/>
      <c r="M8" s="137"/>
      <c r="O8" s="55" t="s">
        <v>203</v>
      </c>
      <c r="P8" s="18"/>
      <c r="R8" s="45">
        <f>$G$19/$G$20*((R4+1)-$G$4)</f>
        <v>13.333333333333334</v>
      </c>
      <c r="S8" s="45">
        <f>$G$19/$G$20*((S4+1)-$G$4)</f>
        <v>26.666666666666668</v>
      </c>
      <c r="T8" s="45">
        <f>$G$19/$G$20*((T4+1)-$G$4)</f>
        <v>40</v>
      </c>
      <c r="U8" s="45">
        <f>$G$19/$G$20*((U4+1)-$G$4)</f>
        <v>53.333333333333336</v>
      </c>
      <c r="V8" s="130">
        <f>$G$19/$G$20*((V4+1)-$G$4)</f>
        <v>66.666666666666671</v>
      </c>
    </row>
    <row r="9" spans="2:22" x14ac:dyDescent="0.2">
      <c r="B9" s="55" t="s">
        <v>18</v>
      </c>
      <c r="G9" s="110">
        <v>8.7999999999999995E-2</v>
      </c>
      <c r="I9" s="34" t="s">
        <v>40</v>
      </c>
      <c r="M9" s="72"/>
      <c r="O9" s="55" t="s">
        <v>139</v>
      </c>
      <c r="R9" s="45">
        <v>0</v>
      </c>
      <c r="S9" s="45">
        <f>850+500</f>
        <v>1350</v>
      </c>
      <c r="T9" s="45">
        <v>800</v>
      </c>
      <c r="U9" s="45">
        <v>750</v>
      </c>
      <c r="V9" s="130">
        <f>700+1300</f>
        <v>2000</v>
      </c>
    </row>
    <row r="10" spans="2:22" x14ac:dyDescent="0.2">
      <c r="B10" s="55" t="s">
        <v>19</v>
      </c>
      <c r="G10" s="109">
        <v>1.1999999999999999E-3</v>
      </c>
      <c r="I10" s="55" t="s">
        <v>41</v>
      </c>
      <c r="M10" s="156">
        <v>43</v>
      </c>
      <c r="O10" s="55" t="s">
        <v>69</v>
      </c>
      <c r="R10" s="45">
        <v>2000</v>
      </c>
      <c r="S10" s="45">
        <v>2000</v>
      </c>
      <c r="T10" s="45">
        <v>2100</v>
      </c>
      <c r="U10" s="45">
        <v>2100</v>
      </c>
      <c r="V10" s="130">
        <v>2200</v>
      </c>
    </row>
    <row r="11" spans="2:22" x14ac:dyDescent="0.2">
      <c r="B11" s="55" t="s">
        <v>20</v>
      </c>
      <c r="G11" s="110">
        <v>2.5000000000000001E-2</v>
      </c>
      <c r="I11" s="55" t="s">
        <v>42</v>
      </c>
      <c r="M11" s="156">
        <v>60</v>
      </c>
      <c r="O11" s="56" t="s">
        <v>194</v>
      </c>
      <c r="P11" s="15"/>
      <c r="Q11" s="15"/>
      <c r="R11" s="46">
        <v>400</v>
      </c>
      <c r="S11" s="46">
        <v>380</v>
      </c>
      <c r="T11" s="46">
        <v>350</v>
      </c>
      <c r="U11" s="46">
        <v>330</v>
      </c>
      <c r="V11" s="132">
        <v>300</v>
      </c>
    </row>
    <row r="12" spans="2:22" x14ac:dyDescent="0.2">
      <c r="B12" s="55" t="s">
        <v>22</v>
      </c>
      <c r="G12" s="110">
        <v>0.19</v>
      </c>
      <c r="I12" s="55" t="s">
        <v>191</v>
      </c>
      <c r="M12" s="66">
        <v>0.1</v>
      </c>
    </row>
    <row r="13" spans="2:22" x14ac:dyDescent="0.2">
      <c r="B13" s="55" t="s">
        <v>23</v>
      </c>
      <c r="G13" s="110">
        <v>0.27500000000000002</v>
      </c>
      <c r="H13" s="4"/>
      <c r="I13" s="55" t="s">
        <v>132</v>
      </c>
      <c r="M13" s="66">
        <v>0.29799999999999999</v>
      </c>
    </row>
    <row r="14" spans="2:22" ht="14" customHeight="1" x14ac:dyDescent="0.2">
      <c r="B14" s="56" t="s">
        <v>24</v>
      </c>
      <c r="C14" s="15"/>
      <c r="D14" s="15"/>
      <c r="E14" s="15"/>
      <c r="F14" s="15"/>
      <c r="G14" s="129">
        <v>6.9000000000000006E-2</v>
      </c>
      <c r="I14" s="56" t="s">
        <v>192</v>
      </c>
      <c r="J14" s="15"/>
      <c r="K14" s="15"/>
      <c r="L14" s="15"/>
      <c r="M14" s="67">
        <v>0.19800000000000001</v>
      </c>
    </row>
    <row r="16" spans="2:22" x14ac:dyDescent="0.2">
      <c r="B16" s="135" t="s">
        <v>197</v>
      </c>
      <c r="C16" s="136"/>
      <c r="D16" s="136"/>
      <c r="E16" s="136"/>
      <c r="F16" s="136"/>
      <c r="G16" s="137"/>
      <c r="I16" s="135" t="s">
        <v>206</v>
      </c>
      <c r="J16" s="136"/>
      <c r="K16" s="136"/>
      <c r="L16" s="136"/>
      <c r="M16" s="137"/>
    </row>
    <row r="17" spans="2:22" x14ac:dyDescent="0.2">
      <c r="B17" s="55" t="s">
        <v>198</v>
      </c>
      <c r="F17" s="4" t="s">
        <v>6</v>
      </c>
      <c r="G17" s="130">
        <v>200</v>
      </c>
      <c r="I17" s="55" t="s">
        <v>204</v>
      </c>
      <c r="M17" s="110">
        <v>0.01</v>
      </c>
    </row>
    <row r="18" spans="2:22" x14ac:dyDescent="0.2">
      <c r="B18" s="55" t="s">
        <v>200</v>
      </c>
      <c r="G18" s="109">
        <v>0.122</v>
      </c>
      <c r="I18" s="55" t="s">
        <v>205</v>
      </c>
      <c r="M18" s="109">
        <v>4.1599999999999998E-2</v>
      </c>
    </row>
    <row r="19" spans="2:22" x14ac:dyDescent="0.2">
      <c r="B19" s="55" t="s">
        <v>199</v>
      </c>
      <c r="F19" s="4" t="s">
        <v>6</v>
      </c>
      <c r="G19" s="130">
        <v>80</v>
      </c>
      <c r="I19" s="55" t="s">
        <v>207</v>
      </c>
      <c r="K19" s="4" t="s">
        <v>6</v>
      </c>
      <c r="M19" s="130">
        <v>0</v>
      </c>
    </row>
    <row r="20" spans="2:22" x14ac:dyDescent="0.2">
      <c r="B20" s="55" t="s">
        <v>201</v>
      </c>
      <c r="G20" s="131">
        <v>6</v>
      </c>
      <c r="H20" s="4"/>
      <c r="I20" s="55" t="s">
        <v>208</v>
      </c>
      <c r="K20" s="4" t="s">
        <v>6</v>
      </c>
      <c r="M20" s="130">
        <v>0</v>
      </c>
      <c r="O20" s="60"/>
      <c r="P20" s="10"/>
      <c r="Q20" s="10"/>
      <c r="S20" s="10"/>
      <c r="T20" s="10"/>
      <c r="U20" s="10"/>
      <c r="V20" s="14"/>
    </row>
    <row r="21" spans="2:22" x14ac:dyDescent="0.2">
      <c r="B21" s="56" t="s">
        <v>95</v>
      </c>
      <c r="C21" s="15"/>
      <c r="D21" s="15"/>
      <c r="E21" s="15"/>
      <c r="F21" s="15" t="s">
        <v>6</v>
      </c>
      <c r="G21" s="132">
        <v>0</v>
      </c>
      <c r="I21" s="56"/>
      <c r="J21" s="15"/>
      <c r="K21" s="15"/>
      <c r="L21" s="15"/>
      <c r="M21" s="80"/>
      <c r="V21" s="13"/>
    </row>
    <row r="22" spans="2:22" x14ac:dyDescent="0.2">
      <c r="G22" s="45"/>
      <c r="H22" s="24"/>
      <c r="T22" s="10"/>
      <c r="U22" s="10"/>
      <c r="V22" s="59"/>
    </row>
    <row r="23" spans="2:22" x14ac:dyDescent="0.2">
      <c r="B23" s="135" t="s">
        <v>212</v>
      </c>
      <c r="C23" s="136"/>
      <c r="D23" s="136"/>
      <c r="E23" s="133"/>
      <c r="F23" s="133"/>
      <c r="G23" s="137"/>
      <c r="H23" s="24"/>
      <c r="I23" s="135" t="s">
        <v>78</v>
      </c>
      <c r="J23" s="136"/>
      <c r="K23" s="136"/>
      <c r="L23" s="9"/>
      <c r="M23" s="154" t="s">
        <v>6</v>
      </c>
    </row>
    <row r="24" spans="2:22" x14ac:dyDescent="0.2">
      <c r="B24" s="55" t="s">
        <v>213</v>
      </c>
      <c r="G24" s="109">
        <v>0.05</v>
      </c>
      <c r="I24" s="55" t="s">
        <v>214</v>
      </c>
      <c r="M24" s="130">
        <v>0</v>
      </c>
      <c r="V24" s="24"/>
    </row>
    <row r="25" spans="2:22" x14ac:dyDescent="0.2">
      <c r="B25" s="56" t="s">
        <v>154</v>
      </c>
      <c r="C25" s="15"/>
      <c r="D25" s="15"/>
      <c r="E25" s="15"/>
      <c r="F25" s="15" t="s">
        <v>6</v>
      </c>
      <c r="G25" s="132">
        <v>0</v>
      </c>
      <c r="I25" s="55" t="s">
        <v>141</v>
      </c>
      <c r="M25" s="130">
        <v>-200</v>
      </c>
      <c r="V25" s="24"/>
    </row>
    <row r="26" spans="2:22" x14ac:dyDescent="0.2">
      <c r="I26" s="55" t="s">
        <v>91</v>
      </c>
      <c r="M26" s="130">
        <v>0</v>
      </c>
    </row>
    <row r="27" spans="2:22" x14ac:dyDescent="0.2">
      <c r="B27" s="135" t="s">
        <v>209</v>
      </c>
      <c r="C27" s="136"/>
      <c r="D27" s="136"/>
      <c r="E27" s="133"/>
      <c r="F27" s="133"/>
      <c r="G27" s="155" t="s">
        <v>6</v>
      </c>
      <c r="I27" s="153" t="s">
        <v>215</v>
      </c>
      <c r="J27" s="14"/>
      <c r="K27" s="14"/>
      <c r="L27" s="14"/>
      <c r="M27" s="130">
        <v>-8000</v>
      </c>
    </row>
    <row r="28" spans="2:22" x14ac:dyDescent="0.2">
      <c r="B28" s="55" t="s">
        <v>210</v>
      </c>
      <c r="G28" s="130">
        <v>0</v>
      </c>
      <c r="H28" s="24"/>
      <c r="I28" s="55"/>
      <c r="M28" s="72"/>
    </row>
    <row r="29" spans="2:22" x14ac:dyDescent="0.2">
      <c r="B29" s="56" t="s">
        <v>211</v>
      </c>
      <c r="C29" s="15"/>
      <c r="D29" s="15"/>
      <c r="E29" s="15"/>
      <c r="F29" s="15"/>
      <c r="G29" s="132">
        <v>0</v>
      </c>
      <c r="H29" s="24"/>
      <c r="I29" s="56"/>
      <c r="J29" s="15"/>
      <c r="K29" s="15"/>
      <c r="L29" s="15"/>
      <c r="M29" s="80"/>
    </row>
    <row r="34" spans="8:22" x14ac:dyDescent="0.2">
      <c r="V34" s="24"/>
    </row>
    <row r="35" spans="8:22" x14ac:dyDescent="0.2">
      <c r="V35" s="24"/>
    </row>
    <row r="36" spans="8:22" x14ac:dyDescent="0.2">
      <c r="H36" s="71"/>
    </row>
    <row r="37" spans="8:22" x14ac:dyDescent="0.2">
      <c r="V37" s="12"/>
    </row>
    <row r="40" spans="8:22" x14ac:dyDescent="0.2">
      <c r="V40" s="24"/>
    </row>
    <row r="41" spans="8:22" x14ac:dyDescent="0.2">
      <c r="Q41" s="51"/>
    </row>
    <row r="47" spans="8:22" x14ac:dyDescent="0.2">
      <c r="V4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3616-47A8-D341-9EAE-CB822D5845AB}">
  <dimension ref="A1:Z321"/>
  <sheetViews>
    <sheetView showGridLines="0" topLeftCell="A72" zoomScale="125" workbookViewId="0">
      <selection activeCell="B150" sqref="B150"/>
    </sheetView>
  </sheetViews>
  <sheetFormatPr baseColWidth="10" defaultRowHeight="14" x14ac:dyDescent="0.2"/>
  <cols>
    <col min="1" max="1" width="4.83203125" style="85" customWidth="1"/>
    <col min="2" max="3" width="2.83203125" style="4" customWidth="1"/>
    <col min="4" max="4" width="14.6640625" style="4" customWidth="1"/>
    <col min="5" max="5" width="14.33203125" style="4" customWidth="1"/>
    <col min="6" max="6" width="5.83203125" style="19" customWidth="1"/>
    <col min="7" max="7" width="4.83203125" style="5" customWidth="1"/>
    <col min="8" max="17" width="9.83203125" style="4" customWidth="1"/>
    <col min="18" max="18" width="3.83203125" style="4" customWidth="1"/>
    <col min="19" max="16384" width="10.83203125" style="4"/>
  </cols>
  <sheetData>
    <row r="1" spans="1:26" x14ac:dyDescent="0.2">
      <c r="Q1" s="124" t="str">
        <f>"CURRENTLY RUNNING: "&amp;UPPER(CHOOSE(Scenarios!$E$5,Scenarios!$D$11,Scenarios!$D$12,Scenarios!$D$13))&amp;" SCENARIO"</f>
        <v>CURRENTLY RUNNING: BASE CASE SCENARIO</v>
      </c>
    </row>
    <row r="2" spans="1:26" ht="25" x14ac:dyDescent="0.3">
      <c r="B2" s="27" t="str">
        <f>COVER!B8</f>
        <v>Adobe Inc.</v>
      </c>
      <c r="C2" s="25"/>
      <c r="D2" s="25"/>
      <c r="E2" s="25"/>
      <c r="F2" s="25"/>
      <c r="G2" s="25"/>
      <c r="H2" s="25"/>
      <c r="I2" s="25"/>
      <c r="J2" s="26"/>
      <c r="K2" s="25"/>
      <c r="L2" s="25"/>
      <c r="M2" s="25"/>
      <c r="N2" s="25"/>
      <c r="O2" s="25"/>
      <c r="P2" s="25"/>
      <c r="Q2" s="25"/>
    </row>
    <row r="3" spans="1:26" ht="19" thickBot="1" x14ac:dyDescent="0.3">
      <c r="B3" s="29" t="s">
        <v>14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26" ht="8" customHeight="1" x14ac:dyDescent="0.25">
      <c r="B4" s="30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26" x14ac:dyDescent="0.2">
      <c r="M5" s="61" t="s">
        <v>7</v>
      </c>
      <c r="N5" s="6"/>
      <c r="O5" s="6"/>
      <c r="P5" s="6"/>
      <c r="Q5" s="6"/>
    </row>
    <row r="6" spans="1:26" ht="8" customHeight="1" x14ac:dyDescent="0.2"/>
    <row r="7" spans="1:26" x14ac:dyDescent="0.2">
      <c r="H7" s="7">
        <f>I7-1</f>
        <v>2021</v>
      </c>
      <c r="I7" s="7">
        <f>J7-1</f>
        <v>2022</v>
      </c>
      <c r="J7" s="7">
        <f>K7-1</f>
        <v>2023</v>
      </c>
      <c r="K7" s="7">
        <f>L7-1</f>
        <v>2024</v>
      </c>
      <c r="L7" s="7">
        <f>M7-1</f>
        <v>2025</v>
      </c>
      <c r="M7" s="8">
        <f>Assumptions!G4</f>
        <v>2026</v>
      </c>
      <c r="N7" s="9">
        <f>M7+1</f>
        <v>2027</v>
      </c>
      <c r="O7" s="9">
        <f>N7+1</f>
        <v>2028</v>
      </c>
      <c r="P7" s="9">
        <f>O7+1</f>
        <v>2029</v>
      </c>
      <c r="Q7" s="9">
        <f>P7+1</f>
        <v>2030</v>
      </c>
    </row>
    <row r="8" spans="1:26" ht="8" customHeight="1" x14ac:dyDescent="0.2">
      <c r="H8" s="39"/>
      <c r="I8" s="39"/>
      <c r="J8" s="39"/>
      <c r="K8" s="39"/>
      <c r="L8" s="39"/>
      <c r="M8" s="40"/>
      <c r="N8" s="41"/>
      <c r="O8" s="41"/>
      <c r="P8" s="41"/>
      <c r="Q8" s="41"/>
    </row>
    <row r="9" spans="1:26" x14ac:dyDescent="0.2">
      <c r="B9" s="10" t="s">
        <v>98</v>
      </c>
      <c r="F9" s="19" t="s">
        <v>6</v>
      </c>
    </row>
    <row r="10" spans="1:26" x14ac:dyDescent="0.2">
      <c r="C10" s="4" t="s">
        <v>96</v>
      </c>
      <c r="H10" s="45">
        <v>11520</v>
      </c>
      <c r="I10" s="45">
        <v>12842</v>
      </c>
      <c r="J10" s="45">
        <v>14216</v>
      </c>
      <c r="K10" s="45">
        <v>15864</v>
      </c>
      <c r="L10" s="45">
        <v>17649</v>
      </c>
      <c r="M10" s="43">
        <f>M15*Assumptions!$M$4</f>
        <v>19326.480468750004</v>
      </c>
      <c r="N10" s="43">
        <f>N15*Assumptions!$M$4</f>
        <v>21275.381126562505</v>
      </c>
      <c r="O10" s="43">
        <f>O15*Assumptions!$M$4</f>
        <v>23316.438973078129</v>
      </c>
      <c r="P10" s="43">
        <f>P15*Assumptions!$M$4</f>
        <v>25455.943851447053</v>
      </c>
      <c r="Q10" s="43">
        <f>Q15*Assumptions!$M$4</f>
        <v>27775.539052635977</v>
      </c>
      <c r="S10" s="14"/>
      <c r="T10" s="14"/>
      <c r="U10" s="14"/>
      <c r="V10" s="14"/>
      <c r="W10" s="14"/>
      <c r="X10" s="14"/>
      <c r="Y10" s="14"/>
      <c r="Z10" s="14"/>
    </row>
    <row r="11" spans="1:26" s="101" customFormat="1" x14ac:dyDescent="0.2">
      <c r="A11" s="96"/>
      <c r="D11" s="101" t="s">
        <v>12</v>
      </c>
      <c r="F11" s="103"/>
      <c r="G11" s="104"/>
      <c r="H11" s="102"/>
      <c r="I11" s="102">
        <f>(I10-H10)/H10</f>
        <v>0.11475694444444444</v>
      </c>
      <c r="J11" s="102">
        <f t="shared" ref="J11:L11" si="0">(J10-I10)/I10</f>
        <v>0.10699268026787105</v>
      </c>
      <c r="K11" s="102">
        <f t="shared" si="0"/>
        <v>0.11592571750140687</v>
      </c>
      <c r="L11" s="102">
        <f t="shared" si="0"/>
        <v>0.11251891074130106</v>
      </c>
      <c r="M11" s="102">
        <f>(M10-L10)/L10</f>
        <v>9.5046771417644269E-2</v>
      </c>
      <c r="N11" s="102">
        <f t="shared" ref="N11:Q11" si="1">(N10-M10)/M10</f>
        <v>0.10084095037188899</v>
      </c>
      <c r="O11" s="102">
        <f t="shared" si="1"/>
        <v>9.5935195443683299E-2</v>
      </c>
      <c r="P11" s="102">
        <f t="shared" si="1"/>
        <v>9.1759504135226697E-2</v>
      </c>
      <c r="Q11" s="102">
        <f t="shared" si="1"/>
        <v>9.1121948364018948E-2</v>
      </c>
      <c r="S11" s="102"/>
      <c r="T11" s="102"/>
      <c r="U11" s="102"/>
      <c r="V11" s="102"/>
      <c r="W11" s="102"/>
    </row>
    <row r="12" spans="1:26" x14ac:dyDescent="0.2">
      <c r="C12" s="4" t="s">
        <v>5</v>
      </c>
      <c r="H12" s="45">
        <v>3867</v>
      </c>
      <c r="I12" s="45">
        <v>4422</v>
      </c>
      <c r="J12" s="45">
        <v>4893</v>
      </c>
      <c r="K12" s="45">
        <v>5366</v>
      </c>
      <c r="L12" s="45">
        <v>5864</v>
      </c>
      <c r="M12" s="43">
        <f>M15-M14-M10</f>
        <v>6718.05078125</v>
      </c>
      <c r="N12" s="43">
        <f t="shared" ref="N12:Q12" si="2">N15-N14-N10</f>
        <v>7450.7156442708365</v>
      </c>
      <c r="O12" s="43">
        <f t="shared" si="2"/>
        <v>8306.6072487968777</v>
      </c>
      <c r="P12" s="43">
        <f t="shared" si="2"/>
        <v>8997.9933614060792</v>
      </c>
      <c r="Q12" s="43">
        <f t="shared" si="2"/>
        <v>9854.3099985694353</v>
      </c>
      <c r="S12" s="14"/>
      <c r="T12" s="14"/>
      <c r="U12" s="14"/>
      <c r="V12" s="14"/>
      <c r="W12" s="14"/>
      <c r="X12" s="14"/>
      <c r="Y12" s="14"/>
      <c r="Z12" s="14"/>
    </row>
    <row r="13" spans="1:26" s="101" customFormat="1" x14ac:dyDescent="0.2">
      <c r="A13" s="96"/>
      <c r="D13" s="101" t="s">
        <v>12</v>
      </c>
      <c r="F13" s="103"/>
      <c r="G13" s="104"/>
      <c r="H13" s="102"/>
      <c r="I13" s="102">
        <f>(I12-H12)/H12</f>
        <v>0.14352211016291699</v>
      </c>
      <c r="J13" s="102">
        <f t="shared" ref="J13:L13" si="3">(J12-I12)/I12</f>
        <v>0.10651289009497965</v>
      </c>
      <c r="K13" s="102">
        <f t="shared" si="3"/>
        <v>9.6668710402615987E-2</v>
      </c>
      <c r="L13" s="102">
        <f t="shared" si="3"/>
        <v>9.2806559821095785E-2</v>
      </c>
      <c r="M13" s="102">
        <f>(M12-L12)/L12</f>
        <v>0.14564303909447476</v>
      </c>
      <c r="N13" s="102">
        <f>(N12-M12)/M12</f>
        <v>0.10905914332557524</v>
      </c>
      <c r="O13" s="102">
        <f t="shared" ref="O13:Q13" si="4">(O12-N12)/N12</f>
        <v>0.11487374440120683</v>
      </c>
      <c r="P13" s="102">
        <f t="shared" si="4"/>
        <v>8.3233273453411596E-2</v>
      </c>
      <c r="Q13" s="102">
        <f t="shared" si="4"/>
        <v>9.5167511551658118E-2</v>
      </c>
      <c r="R13" s="102"/>
      <c r="S13" s="102"/>
      <c r="T13" s="102"/>
      <c r="U13" s="102"/>
      <c r="V13" s="102"/>
      <c r="W13" s="102"/>
    </row>
    <row r="14" spans="1:26" x14ac:dyDescent="0.2">
      <c r="C14" s="4" t="s">
        <v>9</v>
      </c>
      <c r="H14" s="46">
        <v>398</v>
      </c>
      <c r="I14" s="46">
        <v>342</v>
      </c>
      <c r="J14" s="46">
        <v>300</v>
      </c>
      <c r="K14" s="46">
        <v>275</v>
      </c>
      <c r="L14" s="46">
        <v>256</v>
      </c>
      <c r="M14" s="44">
        <f>Assumptions!R5</f>
        <v>250</v>
      </c>
      <c r="N14" s="44">
        <f>Assumptions!S5</f>
        <v>220</v>
      </c>
      <c r="O14" s="44">
        <f>Assumptions!T5</f>
        <v>100</v>
      </c>
      <c r="P14" s="44">
        <f>Assumptions!U5</f>
        <v>180</v>
      </c>
      <c r="Q14" s="44">
        <f>Assumptions!V5</f>
        <v>160</v>
      </c>
      <c r="S14" s="14"/>
      <c r="T14" s="14"/>
      <c r="U14" s="14"/>
      <c r="V14" s="14"/>
      <c r="W14" s="14"/>
      <c r="X14" s="14"/>
      <c r="Y14" s="14"/>
      <c r="Z14" s="14"/>
    </row>
    <row r="15" spans="1:26" s="10" customFormat="1" x14ac:dyDescent="0.2">
      <c r="A15" s="86"/>
      <c r="B15" s="10" t="s">
        <v>11</v>
      </c>
      <c r="F15" s="20" t="s">
        <v>6</v>
      </c>
      <c r="G15" s="17"/>
      <c r="H15" s="42">
        <f>H14+H12+H10</f>
        <v>15785</v>
      </c>
      <c r="I15" s="42">
        <f t="shared" ref="I15:L15" si="5">I14+I12+I10</f>
        <v>17606</v>
      </c>
      <c r="J15" s="42">
        <f t="shared" si="5"/>
        <v>19409</v>
      </c>
      <c r="K15" s="42">
        <f t="shared" si="5"/>
        <v>21505</v>
      </c>
      <c r="L15" s="42">
        <f t="shared" si="5"/>
        <v>23769</v>
      </c>
      <c r="M15" s="42">
        <f>M26/M27</f>
        <v>26294.531250000004</v>
      </c>
      <c r="N15" s="42">
        <f t="shared" ref="N15:Q15" si="6">N26/N27</f>
        <v>28946.096770833341</v>
      </c>
      <c r="O15" s="42">
        <f t="shared" si="6"/>
        <v>31723.046221875007</v>
      </c>
      <c r="P15" s="42">
        <f t="shared" si="6"/>
        <v>34633.937212853132</v>
      </c>
      <c r="Q15" s="42">
        <f t="shared" si="6"/>
        <v>37789.849051205412</v>
      </c>
      <c r="T15" s="4"/>
      <c r="U15" s="4"/>
      <c r="V15" s="14"/>
      <c r="W15" s="4"/>
      <c r="X15" s="4"/>
      <c r="Y15" s="4"/>
    </row>
    <row r="16" spans="1:26" s="96" customFormat="1" x14ac:dyDescent="0.2">
      <c r="D16" s="96" t="s">
        <v>12</v>
      </c>
      <c r="F16" s="105"/>
      <c r="G16" s="106"/>
      <c r="H16" s="107"/>
      <c r="I16" s="107">
        <f>(I15-H15)/H15</f>
        <v>0.11536268609439342</v>
      </c>
      <c r="J16" s="107">
        <f t="shared" ref="J16:L16" si="7">(J15-I15)/I15</f>
        <v>0.10240826990798592</v>
      </c>
      <c r="K16" s="107">
        <f t="shared" si="7"/>
        <v>0.10799113813179453</v>
      </c>
      <c r="L16" s="107">
        <f t="shared" si="7"/>
        <v>0.10527784236224134</v>
      </c>
      <c r="M16" s="107">
        <f>(M15-L15)/L15</f>
        <v>0.10625315537044064</v>
      </c>
      <c r="N16" s="107">
        <f t="shared" ref="N16:Q16" si="8">(N15-M15)/M15</f>
        <v>0.1008409503718891</v>
      </c>
      <c r="O16" s="107">
        <f t="shared" si="8"/>
        <v>9.5935195443683285E-2</v>
      </c>
      <c r="P16" s="107">
        <f t="shared" si="8"/>
        <v>9.1759504135226627E-2</v>
      </c>
      <c r="Q16" s="107">
        <f t="shared" si="8"/>
        <v>9.1121948364019018E-2</v>
      </c>
      <c r="R16" s="107"/>
    </row>
    <row r="17" spans="1:20" x14ac:dyDescent="0.2"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20" ht="14" customHeight="1" x14ac:dyDescent="0.2">
      <c r="B18" s="10" t="s">
        <v>8</v>
      </c>
      <c r="F18" s="20" t="s">
        <v>6</v>
      </c>
      <c r="G18" s="4"/>
      <c r="S18" s="43"/>
    </row>
    <row r="19" spans="1:20" x14ac:dyDescent="0.2">
      <c r="C19" s="4" t="s">
        <v>99</v>
      </c>
      <c r="H19" s="45"/>
      <c r="I19" s="45"/>
      <c r="J19" s="45">
        <v>13425</v>
      </c>
      <c r="K19" s="45">
        <v>14749</v>
      </c>
      <c r="L19" s="45">
        <v>16303</v>
      </c>
      <c r="M19" s="43">
        <f>L19*(1+M20)</f>
        <v>17933.300000000003</v>
      </c>
      <c r="N19" s="43">
        <f t="shared" ref="N19:Q19" si="9">M19*(1+N20)</f>
        <v>19690.763400000003</v>
      </c>
      <c r="O19" s="43">
        <f t="shared" si="9"/>
        <v>21561.385923000002</v>
      </c>
      <c r="P19" s="43">
        <f t="shared" si="9"/>
        <v>23566.594813839001</v>
      </c>
      <c r="Q19" s="43">
        <f t="shared" si="9"/>
        <v>25734.72153671219</v>
      </c>
      <c r="S19" s="43"/>
    </row>
    <row r="20" spans="1:20" s="101" customFormat="1" x14ac:dyDescent="0.2">
      <c r="A20" s="96"/>
      <c r="D20" s="101" t="s">
        <v>12</v>
      </c>
      <c r="F20" s="103"/>
      <c r="G20" s="104"/>
      <c r="H20" s="102"/>
      <c r="I20" s="102"/>
      <c r="J20" s="102"/>
      <c r="K20" s="102">
        <f>(K19-J19)/J19</f>
        <v>9.8621973929236495E-2</v>
      </c>
      <c r="L20" s="102">
        <f>(L19-K19)/K19</f>
        <v>0.10536307546274323</v>
      </c>
      <c r="M20" s="102">
        <f>Scenarios!I9</f>
        <v>0.1</v>
      </c>
      <c r="N20" s="102">
        <f>Scenarios!J9</f>
        <v>9.8000000000000004E-2</v>
      </c>
      <c r="O20" s="102">
        <f>Scenarios!K9</f>
        <v>9.5000000000000001E-2</v>
      </c>
      <c r="P20" s="102">
        <f>Scenarios!L9</f>
        <v>9.2999999999999999E-2</v>
      </c>
      <c r="Q20" s="102">
        <f>Scenarios!M9</f>
        <v>9.1999999999999998E-2</v>
      </c>
    </row>
    <row r="21" spans="1:20" s="101" customFormat="1" x14ac:dyDescent="0.2">
      <c r="A21" s="96"/>
      <c r="D21" s="101" t="s">
        <v>102</v>
      </c>
      <c r="F21" s="103"/>
      <c r="G21" s="104"/>
      <c r="H21" s="102"/>
      <c r="I21" s="102"/>
      <c r="J21" s="102"/>
      <c r="K21" s="102">
        <f>K19/K26</f>
        <v>0.71872715754592853</v>
      </c>
      <c r="L21" s="102">
        <f>L19/L26</f>
        <v>0.71179706601466997</v>
      </c>
      <c r="M21" s="102">
        <f t="shared" ref="M21:Q21" si="10">M19/M26</f>
        <v>0.71043368888096581</v>
      </c>
      <c r="N21" s="102">
        <f t="shared" si="10"/>
        <v>0.70860026612180427</v>
      </c>
      <c r="O21" s="102">
        <f t="shared" si="10"/>
        <v>0.70799559556917946</v>
      </c>
      <c r="P21" s="102">
        <f t="shared" si="10"/>
        <v>0.7088000452719343</v>
      </c>
      <c r="Q21" s="102">
        <f t="shared" si="10"/>
        <v>0.70937043343089989</v>
      </c>
      <c r="T21" s="102"/>
    </row>
    <row r="22" spans="1:20" ht="14" customHeight="1" x14ac:dyDescent="0.2">
      <c r="C22" s="4" t="s">
        <v>100</v>
      </c>
      <c r="F22" s="4"/>
      <c r="G22" s="4"/>
      <c r="H22" s="45"/>
      <c r="I22" s="45"/>
      <c r="J22" s="45">
        <v>4744</v>
      </c>
      <c r="K22" s="45">
        <v>5662</v>
      </c>
      <c r="L22" s="45">
        <v>6495</v>
      </c>
      <c r="M22" s="43">
        <f>L22*(1+M23)</f>
        <v>7209.4500000000007</v>
      </c>
      <c r="N22" s="43">
        <f t="shared" ref="N22:Q22" si="11">M22*(1+N23)</f>
        <v>8002.4895000000015</v>
      </c>
      <c r="O22" s="43">
        <f t="shared" si="11"/>
        <v>8802.7384500000026</v>
      </c>
      <c r="P22" s="43">
        <f t="shared" si="11"/>
        <v>9594.984910500003</v>
      </c>
      <c r="Q22" s="43">
        <f t="shared" si="11"/>
        <v>10458.533552445004</v>
      </c>
    </row>
    <row r="23" spans="1:20" s="101" customFormat="1" x14ac:dyDescent="0.2">
      <c r="A23" s="96"/>
      <c r="D23" s="101" t="s">
        <v>12</v>
      </c>
      <c r="F23" s="103"/>
      <c r="G23" s="104"/>
      <c r="H23" s="102"/>
      <c r="I23" s="102"/>
      <c r="J23" s="102"/>
      <c r="K23" s="102">
        <f>(K22-J22)/J22</f>
        <v>0.19350758853288363</v>
      </c>
      <c r="L23" s="102">
        <f>(L22-K22)/K22</f>
        <v>0.14712115860120098</v>
      </c>
      <c r="M23" s="102">
        <f>Scenarios!I15</f>
        <v>0.11</v>
      </c>
      <c r="N23" s="102">
        <f>Scenarios!J15</f>
        <v>0.11</v>
      </c>
      <c r="O23" s="102">
        <f>Scenarios!K15</f>
        <v>0.1</v>
      </c>
      <c r="P23" s="102">
        <f>Scenarios!L15</f>
        <v>0.09</v>
      </c>
      <c r="Q23" s="102">
        <f>Scenarios!M15</f>
        <v>0.09</v>
      </c>
    </row>
    <row r="24" spans="1:20" s="101" customFormat="1" x14ac:dyDescent="0.2">
      <c r="A24" s="96"/>
      <c r="D24" s="101" t="s">
        <v>102</v>
      </c>
      <c r="F24" s="103"/>
      <c r="G24" s="104"/>
      <c r="H24" s="102"/>
      <c r="I24" s="102"/>
      <c r="J24" s="102"/>
      <c r="K24" s="102">
        <f>K22/K26</f>
        <v>0.27591247989864043</v>
      </c>
      <c r="L24" s="102">
        <f>L22/L26</f>
        <v>0.28357492141110724</v>
      </c>
      <c r="M24" s="102">
        <f t="shared" ref="M24:Q24" si="12">M22/M26</f>
        <v>0.28560477760941261</v>
      </c>
      <c r="N24" s="102">
        <f t="shared" si="12"/>
        <v>0.28798102308907658</v>
      </c>
      <c r="O24" s="102">
        <f t="shared" si="12"/>
        <v>0.28904913968908352</v>
      </c>
      <c r="P24" s="102">
        <f t="shared" si="12"/>
        <v>0.28858330160419371</v>
      </c>
      <c r="Q24" s="102">
        <f t="shared" si="12"/>
        <v>0.28828656523700441</v>
      </c>
    </row>
    <row r="25" spans="1:20" ht="14" customHeight="1" x14ac:dyDescent="0.2">
      <c r="C25" s="4" t="s">
        <v>9</v>
      </c>
      <c r="F25" s="4"/>
      <c r="G25" s="4"/>
      <c r="H25" s="46">
        <v>146</v>
      </c>
      <c r="I25" s="46">
        <v>123</v>
      </c>
      <c r="J25" s="46">
        <v>115</v>
      </c>
      <c r="K25" s="46">
        <v>110</v>
      </c>
      <c r="L25" s="46">
        <v>106</v>
      </c>
      <c r="M25" s="44">
        <f>Assumptions!R6</f>
        <v>100</v>
      </c>
      <c r="N25" s="44">
        <f>Assumptions!S6</f>
        <v>95</v>
      </c>
      <c r="O25" s="44">
        <f>Assumptions!T6</f>
        <v>90</v>
      </c>
      <c r="P25" s="44">
        <f>Assumptions!U6</f>
        <v>87</v>
      </c>
      <c r="Q25" s="44">
        <f>Assumptions!V6</f>
        <v>85</v>
      </c>
    </row>
    <row r="26" spans="1:20" s="10" customFormat="1" ht="14" customHeight="1" x14ac:dyDescent="0.2">
      <c r="A26" s="86"/>
      <c r="B26" s="10" t="s">
        <v>10</v>
      </c>
      <c r="F26" s="20" t="s">
        <v>6</v>
      </c>
      <c r="H26" s="42"/>
      <c r="I26" s="42"/>
      <c r="J26" s="42">
        <f t="shared" ref="J26:K26" si="13">J25+J22+J19</f>
        <v>18284</v>
      </c>
      <c r="K26" s="42">
        <f t="shared" si="13"/>
        <v>20521</v>
      </c>
      <c r="L26" s="42">
        <f>L25+L22+L19</f>
        <v>22904</v>
      </c>
      <c r="M26" s="42">
        <f>M25+M22+M19</f>
        <v>25242.750000000004</v>
      </c>
      <c r="N26" s="42">
        <f t="shared" ref="N26:Q26" si="14">N25+N22+N19</f>
        <v>27788.252900000007</v>
      </c>
      <c r="O26" s="42">
        <f t="shared" si="14"/>
        <v>30454.124373000006</v>
      </c>
      <c r="P26" s="42">
        <f t="shared" si="14"/>
        <v>33248.579724339004</v>
      </c>
      <c r="Q26" s="42">
        <f t="shared" si="14"/>
        <v>36278.255089157195</v>
      </c>
    </row>
    <row r="27" spans="1:20" s="101" customFormat="1" ht="14" customHeight="1" x14ac:dyDescent="0.2">
      <c r="A27" s="96"/>
      <c r="C27" s="101" t="s">
        <v>97</v>
      </c>
      <c r="H27" s="102"/>
      <c r="I27" s="102"/>
      <c r="J27" s="102">
        <f>J26/J15</f>
        <v>0.9420371992374672</v>
      </c>
      <c r="K27" s="102">
        <f t="shared" ref="K27:L27" si="15">K26/K15</f>
        <v>0.954243199255987</v>
      </c>
      <c r="L27" s="102">
        <f t="shared" si="15"/>
        <v>0.96360806091968532</v>
      </c>
      <c r="M27" s="102">
        <f>Assumptions!$G$6</f>
        <v>0.96</v>
      </c>
      <c r="N27" s="102">
        <f>Assumptions!$G$6</f>
        <v>0.96</v>
      </c>
      <c r="O27" s="102">
        <f>Assumptions!$G$6</f>
        <v>0.96</v>
      </c>
      <c r="P27" s="102">
        <f>Assumptions!$G$6</f>
        <v>0.96</v>
      </c>
      <c r="Q27" s="102">
        <f>Assumptions!$G$6</f>
        <v>0.96</v>
      </c>
      <c r="R27" s="102"/>
    </row>
    <row r="28" spans="1:20" s="101" customFormat="1" ht="14" customHeight="1" x14ac:dyDescent="0.2">
      <c r="A28" s="96"/>
      <c r="D28" s="101" t="s">
        <v>12</v>
      </c>
      <c r="K28" s="102">
        <f>(K26-J26)/J26</f>
        <v>0.12234740756945964</v>
      </c>
      <c r="L28" s="102">
        <f>(L26-K26)/K26</f>
        <v>0.11612494517811023</v>
      </c>
      <c r="M28" s="102">
        <f>(M26-L26)/L26</f>
        <v>0.10211098498078953</v>
      </c>
      <c r="N28" s="102">
        <f t="shared" ref="N28:Q28" si="16">(N26-M26)/M26</f>
        <v>0.10084095037188907</v>
      </c>
      <c r="O28" s="102">
        <f t="shared" si="16"/>
        <v>9.5935195443683272E-2</v>
      </c>
      <c r="P28" s="102">
        <f t="shared" si="16"/>
        <v>9.1759504135226572E-2</v>
      </c>
      <c r="Q28" s="102">
        <f t="shared" si="16"/>
        <v>9.1121948364019101E-2</v>
      </c>
    </row>
    <row r="29" spans="1:20" ht="14" customHeight="1" x14ac:dyDescent="0.2">
      <c r="F29" s="4"/>
      <c r="G29" s="4"/>
    </row>
    <row r="30" spans="1:20" ht="14" customHeight="1" x14ac:dyDescent="0.2">
      <c r="B30" s="31" t="s">
        <v>103</v>
      </c>
      <c r="C30" s="32"/>
      <c r="D30" s="32"/>
      <c r="E30" s="32"/>
      <c r="F30" s="65" t="s">
        <v>6</v>
      </c>
      <c r="G30" s="32"/>
      <c r="H30" s="32"/>
      <c r="I30" s="54"/>
      <c r="J30" s="54"/>
      <c r="K30" s="54"/>
      <c r="L30" s="54">
        <f t="shared" ref="L30:Q30" si="17">K32</f>
        <v>22600.896860986548</v>
      </c>
      <c r="M30" s="54">
        <f t="shared" si="17"/>
        <v>25200</v>
      </c>
      <c r="N30" s="54">
        <f t="shared" si="17"/>
        <v>27781.989339513326</v>
      </c>
      <c r="O30" s="54">
        <f t="shared" si="17"/>
        <v>30591.324621850523</v>
      </c>
      <c r="P30" s="54">
        <f t="shared" si="17"/>
        <v>33533.12392225529</v>
      </c>
      <c r="Q30" s="68">
        <f t="shared" si="17"/>
        <v>36614.512904709089</v>
      </c>
    </row>
    <row r="31" spans="1:20" ht="14" customHeight="1" x14ac:dyDescent="0.2">
      <c r="B31" s="55" t="s">
        <v>101</v>
      </c>
      <c r="F31" s="4"/>
      <c r="G31" s="4"/>
      <c r="I31" s="43"/>
      <c r="J31" s="43"/>
      <c r="K31" s="43"/>
      <c r="L31" s="43">
        <f t="shared" ref="L31" si="18">L32-L30</f>
        <v>2599.1031390134522</v>
      </c>
      <c r="M31" s="43">
        <f>M30*M20*M21+M30*M23*M24</f>
        <v>2581.9893395133254</v>
      </c>
      <c r="N31" s="43">
        <f>N30*N20*N21+N30*N23*N24</f>
        <v>2809.3352823371979</v>
      </c>
      <c r="O31" s="43">
        <f t="shared" ref="O31:Q31" si="19">O30*O20*O21+O30*O23*O24</f>
        <v>2941.7993004047676</v>
      </c>
      <c r="P31" s="43">
        <f t="shared" si="19"/>
        <v>3081.388982453796</v>
      </c>
      <c r="Q31" s="69">
        <f t="shared" si="19"/>
        <v>3339.5317604760885</v>
      </c>
    </row>
    <row r="32" spans="1:20" ht="14" customHeight="1" x14ac:dyDescent="0.2">
      <c r="B32" s="34" t="s">
        <v>104</v>
      </c>
      <c r="C32" s="10"/>
      <c r="D32" s="10"/>
      <c r="F32" s="20" t="s">
        <v>6</v>
      </c>
      <c r="G32" s="4"/>
      <c r="H32" s="78"/>
      <c r="I32" s="78"/>
      <c r="J32" s="78"/>
      <c r="K32" s="78">
        <f>L32/(1+11.5%)</f>
        <v>22600.896860986548</v>
      </c>
      <c r="L32" s="78">
        <v>25200</v>
      </c>
      <c r="M32" s="42">
        <f>M30+M31</f>
        <v>27781.989339513326</v>
      </c>
      <c r="N32" s="42">
        <f t="shared" ref="N32:Q32" si="20">N30+N31</f>
        <v>30591.324621850523</v>
      </c>
      <c r="O32" s="42">
        <f t="shared" si="20"/>
        <v>33533.12392225529</v>
      </c>
      <c r="P32" s="42">
        <f t="shared" si="20"/>
        <v>36614.512904709089</v>
      </c>
      <c r="Q32" s="79">
        <f t="shared" si="20"/>
        <v>39954.044665185174</v>
      </c>
    </row>
    <row r="33" spans="1:17" s="101" customFormat="1" ht="14" customHeight="1" x14ac:dyDescent="0.2">
      <c r="A33" s="96"/>
      <c r="B33" s="97"/>
      <c r="C33" s="98" t="s">
        <v>12</v>
      </c>
      <c r="D33" s="98"/>
      <c r="E33" s="98"/>
      <c r="F33" s="98"/>
      <c r="G33" s="98"/>
      <c r="H33" s="98"/>
      <c r="I33" s="98"/>
      <c r="J33" s="98"/>
      <c r="K33" s="98"/>
      <c r="L33" s="99">
        <f>L31/L30</f>
        <v>0.11499999999999996</v>
      </c>
      <c r="M33" s="99">
        <f t="shared" ref="M33:Q33" si="21">M31/M30</f>
        <v>0.10245989442513195</v>
      </c>
      <c r="N33" s="99">
        <f t="shared" si="21"/>
        <v>0.10112073861973524</v>
      </c>
      <c r="O33" s="99">
        <f t="shared" si="21"/>
        <v>9.6164495547980386E-2</v>
      </c>
      <c r="P33" s="99">
        <f t="shared" si="21"/>
        <v>9.189090135466732E-2</v>
      </c>
      <c r="Q33" s="100">
        <f t="shared" si="21"/>
        <v>9.1207870746973188E-2</v>
      </c>
    </row>
    <row r="34" spans="1:17" ht="14" customHeight="1" x14ac:dyDescent="0.2">
      <c r="F34" s="4"/>
      <c r="G34" s="4"/>
      <c r="J34" s="14"/>
      <c r="K34" s="14"/>
      <c r="L34" s="14"/>
      <c r="M34" s="14"/>
      <c r="N34" s="14"/>
      <c r="O34" s="14"/>
      <c r="P34" s="14"/>
      <c r="Q34" s="14"/>
    </row>
    <row r="35" spans="1:17" ht="14" customHeight="1" x14ac:dyDescent="0.2">
      <c r="F35" s="4"/>
      <c r="G35" s="4"/>
      <c r="L35" s="43"/>
      <c r="M35" s="43"/>
    </row>
    <row r="36" spans="1:17" ht="14" customHeight="1" x14ac:dyDescent="0.2">
      <c r="F36" s="4"/>
      <c r="G36" s="4"/>
    </row>
    <row r="37" spans="1:17" ht="14" customHeight="1" x14ac:dyDescent="0.2">
      <c r="F37" s="4"/>
      <c r="G37" s="4"/>
    </row>
    <row r="38" spans="1:17" ht="14" customHeight="1" x14ac:dyDescent="0.2">
      <c r="F38" s="4"/>
      <c r="G38" s="4"/>
    </row>
    <row r="39" spans="1:17" ht="14" customHeight="1" x14ac:dyDescent="0.2">
      <c r="F39" s="4"/>
      <c r="G39" s="4"/>
      <c r="Q39" s="124" t="str">
        <f>$Q$1</f>
        <v>CURRENTLY RUNNING: BASE CASE SCENARIO</v>
      </c>
    </row>
    <row r="40" spans="1:17" ht="25" x14ac:dyDescent="0.3">
      <c r="B40" s="27" t="str">
        <f>$B$2</f>
        <v>Adobe Inc.</v>
      </c>
      <c r="C40" s="25"/>
      <c r="D40" s="25"/>
      <c r="E40" s="25"/>
      <c r="F40" s="25"/>
      <c r="G40" s="25"/>
      <c r="H40" s="25"/>
      <c r="I40" s="25"/>
      <c r="J40" s="26"/>
      <c r="K40" s="25"/>
      <c r="L40" s="25"/>
      <c r="M40" s="25"/>
      <c r="N40" s="25"/>
      <c r="O40" s="25"/>
      <c r="P40" s="25"/>
      <c r="Q40" s="25"/>
    </row>
    <row r="41" spans="1:17" ht="19" thickBot="1" x14ac:dyDescent="0.3">
      <c r="B41" s="29" t="s">
        <v>107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ht="8" customHeight="1" x14ac:dyDescent="0.25">
      <c r="B42" s="3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17" x14ac:dyDescent="0.2">
      <c r="M43" s="61" t="s">
        <v>7</v>
      </c>
      <c r="N43" s="6"/>
      <c r="O43" s="6"/>
      <c r="P43" s="6"/>
      <c r="Q43" s="6"/>
    </row>
    <row r="44" spans="1:17" ht="8" customHeight="1" x14ac:dyDescent="0.2"/>
    <row r="45" spans="1:17" x14ac:dyDescent="0.2">
      <c r="H45" s="7">
        <f>I45-1</f>
        <v>2021</v>
      </c>
      <c r="I45" s="7">
        <f>J45-1</f>
        <v>2022</v>
      </c>
      <c r="J45" s="7">
        <f>K45-1</f>
        <v>2023</v>
      </c>
      <c r="K45" s="7">
        <f>L45-1</f>
        <v>2024</v>
      </c>
      <c r="L45" s="7">
        <f>M45-1</f>
        <v>2025</v>
      </c>
      <c r="M45" s="8">
        <f>$M$7</f>
        <v>2026</v>
      </c>
      <c r="N45" s="9">
        <f>M45+1</f>
        <v>2027</v>
      </c>
      <c r="O45" s="9">
        <f>N45+1</f>
        <v>2028</v>
      </c>
      <c r="P45" s="9">
        <f>O45+1</f>
        <v>2029</v>
      </c>
      <c r="Q45" s="9">
        <f>P45+1</f>
        <v>2030</v>
      </c>
    </row>
    <row r="46" spans="1:17" ht="8" customHeight="1" x14ac:dyDescent="0.2">
      <c r="F46" s="4"/>
      <c r="G46" s="4"/>
    </row>
    <row r="47" spans="1:17" ht="14" customHeight="1" x14ac:dyDescent="0.2">
      <c r="B47" s="10" t="s">
        <v>17</v>
      </c>
      <c r="F47" s="4"/>
      <c r="G47" s="4"/>
    </row>
    <row r="48" spans="1:17" ht="14" customHeight="1" x14ac:dyDescent="0.2">
      <c r="C48" s="4" t="s">
        <v>18</v>
      </c>
      <c r="F48" s="4"/>
      <c r="G48" s="4"/>
      <c r="H48" s="45">
        <v>1374</v>
      </c>
      <c r="I48" s="45">
        <v>1646</v>
      </c>
      <c r="J48" s="45">
        <v>1822</v>
      </c>
      <c r="K48" s="45">
        <v>1799</v>
      </c>
      <c r="L48" s="45">
        <v>2027</v>
      </c>
      <c r="M48" s="43">
        <f>M49*M15</f>
        <v>2313.9187500000003</v>
      </c>
      <c r="N48" s="43">
        <f t="shared" ref="N48:Q48" si="22">N49*N15</f>
        <v>2547.2565158333337</v>
      </c>
      <c r="O48" s="43">
        <f t="shared" si="22"/>
        <v>2791.6280675250005</v>
      </c>
      <c r="P48" s="43">
        <f t="shared" si="22"/>
        <v>3047.7864747310755</v>
      </c>
      <c r="Q48" s="43">
        <f t="shared" si="22"/>
        <v>3325.5067165060759</v>
      </c>
    </row>
    <row r="49" spans="1:17" s="101" customFormat="1" ht="14" customHeight="1" x14ac:dyDescent="0.2">
      <c r="A49" s="96"/>
      <c r="D49" s="101" t="s">
        <v>97</v>
      </c>
      <c r="H49" s="102">
        <f>H48/H15</f>
        <v>8.704466265441875E-2</v>
      </c>
      <c r="I49" s="102">
        <f t="shared" ref="I49:L49" si="23">I48/I15</f>
        <v>9.3490855390207878E-2</v>
      </c>
      <c r="J49" s="102">
        <f t="shared" si="23"/>
        <v>9.3873975990519859E-2</v>
      </c>
      <c r="K49" s="102">
        <f t="shared" si="23"/>
        <v>8.3654963961869333E-2</v>
      </c>
      <c r="L49" s="102">
        <f t="shared" si="23"/>
        <v>8.5279145104968659E-2</v>
      </c>
      <c r="M49" s="102">
        <f>Assumptions!$G$9</f>
        <v>8.7999999999999995E-2</v>
      </c>
      <c r="N49" s="102">
        <f>Assumptions!$G$9</f>
        <v>8.7999999999999995E-2</v>
      </c>
      <c r="O49" s="102">
        <f>Assumptions!$G$9</f>
        <v>8.7999999999999995E-2</v>
      </c>
      <c r="P49" s="102">
        <f>Assumptions!$G$9</f>
        <v>8.7999999999999995E-2</v>
      </c>
      <c r="Q49" s="102">
        <f>Assumptions!$G$9</f>
        <v>8.7999999999999995E-2</v>
      </c>
    </row>
    <row r="50" spans="1:17" ht="14" customHeight="1" x14ac:dyDescent="0.2">
      <c r="C50" s="4" t="s">
        <v>19</v>
      </c>
      <c r="F50" s="4"/>
      <c r="G50" s="4"/>
      <c r="H50" s="45">
        <v>41</v>
      </c>
      <c r="I50" s="45">
        <v>35</v>
      </c>
      <c r="J50" s="45">
        <v>29</v>
      </c>
      <c r="K50" s="45">
        <v>25</v>
      </c>
      <c r="L50" s="45">
        <v>23</v>
      </c>
      <c r="M50" s="43">
        <f>M51*M15</f>
        <v>31.553437500000001</v>
      </c>
      <c r="N50" s="43">
        <f t="shared" ref="N50:Q50" si="24">N51*N15</f>
        <v>34.735316125000004</v>
      </c>
      <c r="O50" s="43">
        <f t="shared" si="24"/>
        <v>38.067655466250002</v>
      </c>
      <c r="P50" s="43">
        <f t="shared" si="24"/>
        <v>41.560724655423755</v>
      </c>
      <c r="Q50" s="43">
        <f t="shared" si="24"/>
        <v>45.347818861446491</v>
      </c>
    </row>
    <row r="51" spans="1:17" s="101" customFormat="1" ht="14" customHeight="1" x14ac:dyDescent="0.2">
      <c r="A51" s="96"/>
      <c r="D51" s="101" t="s">
        <v>97</v>
      </c>
      <c r="H51" s="102">
        <f>H50/H15</f>
        <v>2.5974025974025974E-3</v>
      </c>
      <c r="I51" s="102">
        <f t="shared" ref="I51:L51" si="25">I50/I15</f>
        <v>1.9879586504600705E-3</v>
      </c>
      <c r="J51" s="102">
        <f t="shared" si="25"/>
        <v>1.49415219743418E-3</v>
      </c>
      <c r="K51" s="102">
        <f t="shared" si="25"/>
        <v>1.1625203441060219E-3</v>
      </c>
      <c r="L51" s="102">
        <f t="shared" si="25"/>
        <v>9.676469350835121E-4</v>
      </c>
      <c r="M51" s="102">
        <f>Assumptions!$G$10</f>
        <v>1.1999999999999999E-3</v>
      </c>
      <c r="N51" s="102">
        <f>Assumptions!$G$10</f>
        <v>1.1999999999999999E-3</v>
      </c>
      <c r="O51" s="102">
        <f>Assumptions!$G$10</f>
        <v>1.1999999999999999E-3</v>
      </c>
      <c r="P51" s="102">
        <f>Assumptions!$G$10</f>
        <v>1.1999999999999999E-3</v>
      </c>
      <c r="Q51" s="102">
        <f>Assumptions!$G$10</f>
        <v>1.1999999999999999E-3</v>
      </c>
    </row>
    <row r="52" spans="1:17" ht="14" customHeight="1" x14ac:dyDescent="0.2">
      <c r="C52" s="4" t="s">
        <v>20</v>
      </c>
      <c r="F52" s="4"/>
      <c r="G52" s="4"/>
      <c r="H52" s="45">
        <v>450</v>
      </c>
      <c r="I52" s="45">
        <v>484</v>
      </c>
      <c r="J52" s="45">
        <v>503</v>
      </c>
      <c r="K52" s="45">
        <v>534</v>
      </c>
      <c r="L52" s="45">
        <v>501</v>
      </c>
      <c r="M52" s="43">
        <f>M53*M15</f>
        <v>657.36328125000011</v>
      </c>
      <c r="N52" s="43">
        <f t="shared" ref="N52:Q52" si="26">N53*N15</f>
        <v>723.65241927083355</v>
      </c>
      <c r="O52" s="43">
        <f t="shared" si="26"/>
        <v>793.07615554687527</v>
      </c>
      <c r="P52" s="43">
        <f t="shared" si="26"/>
        <v>865.84843032132835</v>
      </c>
      <c r="Q52" s="43">
        <f t="shared" si="26"/>
        <v>944.74622628013537</v>
      </c>
    </row>
    <row r="53" spans="1:17" s="101" customFormat="1" ht="14" customHeight="1" x14ac:dyDescent="0.2">
      <c r="A53" s="96"/>
      <c r="D53" s="101" t="s">
        <v>97</v>
      </c>
      <c r="H53" s="99">
        <f>H52/H15</f>
        <v>2.8508077288565095E-2</v>
      </c>
      <c r="I53" s="99">
        <f t="shared" ref="I53:L53" si="27">I52/I15</f>
        <v>2.7490628194933545E-2</v>
      </c>
      <c r="J53" s="99">
        <f t="shared" si="27"/>
        <v>2.5915812252048018E-2</v>
      </c>
      <c r="K53" s="99">
        <f t="shared" si="27"/>
        <v>2.4831434550104628E-2</v>
      </c>
      <c r="L53" s="99">
        <f t="shared" si="27"/>
        <v>2.1077874542471287E-2</v>
      </c>
      <c r="M53" s="99">
        <f>Assumptions!$G$11</f>
        <v>2.5000000000000001E-2</v>
      </c>
      <c r="N53" s="99">
        <f>Assumptions!$G$11</f>
        <v>2.5000000000000001E-2</v>
      </c>
      <c r="O53" s="99">
        <f>Assumptions!$G$11</f>
        <v>2.5000000000000001E-2</v>
      </c>
      <c r="P53" s="99">
        <f>Assumptions!$G$11</f>
        <v>2.5000000000000001E-2</v>
      </c>
      <c r="Q53" s="99">
        <f>Assumptions!$G$11</f>
        <v>2.5000000000000001E-2</v>
      </c>
    </row>
    <row r="54" spans="1:17" s="10" customFormat="1" ht="14" customHeight="1" x14ac:dyDescent="0.2">
      <c r="A54" s="86"/>
      <c r="B54" s="10" t="s">
        <v>28</v>
      </c>
      <c r="H54" s="42">
        <f>H52+H50+H48</f>
        <v>1865</v>
      </c>
      <c r="I54" s="42">
        <f t="shared" ref="I54:Q54" si="28">I52+I50+I48</f>
        <v>2165</v>
      </c>
      <c r="J54" s="42">
        <f t="shared" si="28"/>
        <v>2354</v>
      </c>
      <c r="K54" s="42">
        <f t="shared" si="28"/>
        <v>2358</v>
      </c>
      <c r="L54" s="42">
        <f t="shared" si="28"/>
        <v>2551</v>
      </c>
      <c r="M54" s="42">
        <f t="shared" si="28"/>
        <v>3002.8354687500005</v>
      </c>
      <c r="N54" s="42">
        <f t="shared" si="28"/>
        <v>3305.6442512291674</v>
      </c>
      <c r="O54" s="42">
        <f t="shared" si="28"/>
        <v>3622.7718785381257</v>
      </c>
      <c r="P54" s="42">
        <f t="shared" si="28"/>
        <v>3955.1956297078277</v>
      </c>
      <c r="Q54" s="42">
        <f t="shared" si="28"/>
        <v>4315.6007616476581</v>
      </c>
    </row>
    <row r="55" spans="1:17" s="101" customFormat="1" ht="14" customHeight="1" x14ac:dyDescent="0.2">
      <c r="A55" s="96"/>
      <c r="D55" s="101" t="s">
        <v>97</v>
      </c>
    </row>
    <row r="57" spans="1:17" ht="14" customHeight="1" x14ac:dyDescent="0.2">
      <c r="B57" s="10" t="s">
        <v>21</v>
      </c>
      <c r="F57" s="4"/>
      <c r="G57" s="4"/>
    </row>
    <row r="58" spans="1:17" ht="14" customHeight="1" x14ac:dyDescent="0.2">
      <c r="C58" s="4" t="s">
        <v>22</v>
      </c>
      <c r="F58" s="4"/>
      <c r="G58" s="4"/>
      <c r="H58" s="45">
        <v>2540</v>
      </c>
      <c r="I58" s="45">
        <v>2987</v>
      </c>
      <c r="J58" s="45">
        <v>3473</v>
      </c>
      <c r="K58" s="45">
        <v>3944</v>
      </c>
      <c r="L58" s="45">
        <v>4294</v>
      </c>
      <c r="M58" s="43">
        <f>M59*M15</f>
        <v>4995.9609375000009</v>
      </c>
      <c r="N58" s="43">
        <f t="shared" ref="N58:Q58" si="29">N59*N15</f>
        <v>5499.7583864583348</v>
      </c>
      <c r="O58" s="43">
        <f t="shared" si="29"/>
        <v>6027.3787821562519</v>
      </c>
      <c r="P58" s="43">
        <f t="shared" si="29"/>
        <v>6580.4480704420948</v>
      </c>
      <c r="Q58" s="43">
        <f t="shared" si="29"/>
        <v>7180.0713197290288</v>
      </c>
    </row>
    <row r="59" spans="1:17" s="101" customFormat="1" ht="14" customHeight="1" x14ac:dyDescent="0.2">
      <c r="A59" s="96"/>
      <c r="D59" s="101" t="s">
        <v>97</v>
      </c>
      <c r="H59" s="102">
        <f>H58/H15</f>
        <v>0.16091225847323409</v>
      </c>
      <c r="I59" s="102">
        <f t="shared" ref="I59:L59" si="30">I58/I15</f>
        <v>0.16965807111212086</v>
      </c>
      <c r="J59" s="102">
        <f t="shared" si="30"/>
        <v>0.17893760626513472</v>
      </c>
      <c r="K59" s="102">
        <f t="shared" si="30"/>
        <v>0.183399209486166</v>
      </c>
      <c r="L59" s="102">
        <f t="shared" si="30"/>
        <v>0.1806554756195044</v>
      </c>
      <c r="M59" s="102">
        <f>Assumptions!$G$12</f>
        <v>0.19</v>
      </c>
      <c r="N59" s="102">
        <f>Assumptions!$G$12</f>
        <v>0.19</v>
      </c>
      <c r="O59" s="102">
        <f>Assumptions!$G$12</f>
        <v>0.19</v>
      </c>
      <c r="P59" s="102">
        <f>Assumptions!$G$12</f>
        <v>0.19</v>
      </c>
      <c r="Q59" s="102">
        <f>Assumptions!$G$12</f>
        <v>0.19</v>
      </c>
    </row>
    <row r="60" spans="1:17" ht="14" customHeight="1" x14ac:dyDescent="0.2">
      <c r="C60" s="4" t="s">
        <v>23</v>
      </c>
      <c r="F60" s="4"/>
      <c r="G60" s="4"/>
      <c r="H60" s="45">
        <v>4321</v>
      </c>
      <c r="I60" s="45">
        <v>4968</v>
      </c>
      <c r="J60" s="45">
        <v>5351</v>
      </c>
      <c r="K60" s="45">
        <v>5764</v>
      </c>
      <c r="L60" s="45">
        <v>6488</v>
      </c>
      <c r="M60" s="43">
        <f>M61*M15</f>
        <v>7230.9960937500018</v>
      </c>
      <c r="N60" s="43">
        <f t="shared" ref="N60:Q60" si="31">N61*N15</f>
        <v>7960.1766119791691</v>
      </c>
      <c r="O60" s="43">
        <f t="shared" si="31"/>
        <v>8723.8377110156271</v>
      </c>
      <c r="P60" s="43">
        <f t="shared" si="31"/>
        <v>9524.332733534613</v>
      </c>
      <c r="Q60" s="43">
        <f t="shared" si="31"/>
        <v>10392.208489081489</v>
      </c>
    </row>
    <row r="61" spans="1:17" s="101" customFormat="1" ht="14" customHeight="1" x14ac:dyDescent="0.2">
      <c r="A61" s="96"/>
      <c r="D61" s="101" t="s">
        <v>97</v>
      </c>
      <c r="H61" s="102">
        <f>H60/H15</f>
        <v>0.27374089325308837</v>
      </c>
      <c r="I61" s="102">
        <f t="shared" ref="I61:L61" si="32">I60/I15</f>
        <v>0.28217653072816085</v>
      </c>
      <c r="J61" s="102">
        <f t="shared" si="32"/>
        <v>0.27569684167138958</v>
      </c>
      <c r="K61" s="102">
        <f t="shared" si="32"/>
        <v>0.26803069053708439</v>
      </c>
      <c r="L61" s="102">
        <f t="shared" si="32"/>
        <v>0.27296057890529679</v>
      </c>
      <c r="M61" s="102">
        <f>Assumptions!$G$13</f>
        <v>0.27500000000000002</v>
      </c>
      <c r="N61" s="102">
        <f>Assumptions!$G$13</f>
        <v>0.27500000000000002</v>
      </c>
      <c r="O61" s="102">
        <f>Assumptions!$G$13</f>
        <v>0.27500000000000002</v>
      </c>
      <c r="P61" s="102">
        <f>Assumptions!$G$13</f>
        <v>0.27500000000000002</v>
      </c>
      <c r="Q61" s="102">
        <f>Assumptions!$G$13</f>
        <v>0.27500000000000002</v>
      </c>
    </row>
    <row r="62" spans="1:17" ht="14" customHeight="1" x14ac:dyDescent="0.2">
      <c r="C62" s="4" t="s">
        <v>24</v>
      </c>
      <c r="F62" s="4"/>
      <c r="G62" s="4"/>
      <c r="H62" s="45">
        <v>1085</v>
      </c>
      <c r="I62" s="45">
        <v>1219</v>
      </c>
      <c r="J62" s="45">
        <v>1413</v>
      </c>
      <c r="K62" s="45">
        <v>1529</v>
      </c>
      <c r="L62" s="45">
        <v>1573</v>
      </c>
      <c r="M62" s="43">
        <f>M63*M15</f>
        <v>1814.3226562500004</v>
      </c>
      <c r="N62" s="43">
        <f t="shared" ref="N62:Q62" si="33">N63*N15</f>
        <v>1997.2806771875007</v>
      </c>
      <c r="O62" s="43">
        <f t="shared" si="33"/>
        <v>2188.8901893093757</v>
      </c>
      <c r="P62" s="43">
        <f t="shared" si="33"/>
        <v>2389.7416676868665</v>
      </c>
      <c r="Q62" s="43">
        <f t="shared" si="33"/>
        <v>2607.4995845331737</v>
      </c>
    </row>
    <row r="63" spans="1:17" s="101" customFormat="1" ht="14" customHeight="1" x14ac:dyDescent="0.2">
      <c r="A63" s="96"/>
      <c r="D63" s="101" t="s">
        <v>97</v>
      </c>
      <c r="H63" s="102">
        <f>H62/H15</f>
        <v>6.8736141906873618E-2</v>
      </c>
      <c r="I63" s="102">
        <f t="shared" ref="I63:L63" si="34">I62/I15</f>
        <v>6.923775985459503E-2</v>
      </c>
      <c r="J63" s="102">
        <f t="shared" si="34"/>
        <v>7.2801277757741256E-2</v>
      </c>
      <c r="K63" s="102">
        <f t="shared" si="34"/>
        <v>7.1099744245524302E-2</v>
      </c>
      <c r="L63" s="102">
        <f t="shared" si="34"/>
        <v>6.6178636038537589E-2</v>
      </c>
      <c r="M63" s="102">
        <f>Assumptions!$G$14</f>
        <v>6.9000000000000006E-2</v>
      </c>
      <c r="N63" s="102">
        <f>Assumptions!$G$14</f>
        <v>6.9000000000000006E-2</v>
      </c>
      <c r="O63" s="102">
        <f>Assumptions!$G$14</f>
        <v>6.9000000000000006E-2</v>
      </c>
      <c r="P63" s="102">
        <f>Assumptions!$G$14</f>
        <v>6.9000000000000006E-2</v>
      </c>
      <c r="Q63" s="102">
        <f>Assumptions!$G$14</f>
        <v>6.9000000000000006E-2</v>
      </c>
    </row>
    <row r="64" spans="1:17" ht="14" customHeight="1" x14ac:dyDescent="0.2">
      <c r="C64" s="4" t="s">
        <v>130</v>
      </c>
      <c r="F64" s="4"/>
      <c r="G64" s="4"/>
      <c r="H64" s="45">
        <v>172</v>
      </c>
      <c r="I64" s="45">
        <v>169</v>
      </c>
      <c r="J64" s="45">
        <v>168</v>
      </c>
      <c r="K64" s="45">
        <v>169</v>
      </c>
      <c r="L64" s="45">
        <v>157</v>
      </c>
      <c r="M64" s="43">
        <f>M260</f>
        <v>174.33333333333334</v>
      </c>
      <c r="N64" s="43">
        <f t="shared" ref="N64:Q64" si="35">N260</f>
        <v>145.66666666666666</v>
      </c>
      <c r="O64" s="43">
        <f t="shared" si="35"/>
        <v>113</v>
      </c>
      <c r="P64" s="43">
        <f t="shared" si="35"/>
        <v>122.33333333333334</v>
      </c>
      <c r="Q64" s="43">
        <f t="shared" si="35"/>
        <v>131.66666666666669</v>
      </c>
    </row>
    <row r="65" spans="1:17" ht="14" customHeight="1" x14ac:dyDescent="0.2">
      <c r="C65" s="4" t="s">
        <v>108</v>
      </c>
      <c r="F65" s="4"/>
      <c r="G65" s="4"/>
      <c r="H65" s="46">
        <v>0</v>
      </c>
      <c r="I65" s="46">
        <v>0</v>
      </c>
      <c r="J65" s="46">
        <v>0</v>
      </c>
      <c r="K65" s="46">
        <v>1000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</row>
    <row r="66" spans="1:17" s="10" customFormat="1" ht="14" customHeight="1" x14ac:dyDescent="0.2">
      <c r="A66" s="86"/>
      <c r="B66" s="10" t="s">
        <v>25</v>
      </c>
      <c r="H66" s="42">
        <f>H65+H64+H62+H60+H58</f>
        <v>8118</v>
      </c>
      <c r="I66" s="42">
        <f t="shared" ref="I66:N66" si="36">I65+I64+I62+I60+I58</f>
        <v>9343</v>
      </c>
      <c r="J66" s="42">
        <f t="shared" si="36"/>
        <v>10405</v>
      </c>
      <c r="K66" s="42">
        <f t="shared" si="36"/>
        <v>12406</v>
      </c>
      <c r="L66" s="42">
        <f t="shared" si="36"/>
        <v>12512</v>
      </c>
      <c r="M66" s="42">
        <f t="shared" si="36"/>
        <v>14215.613020833338</v>
      </c>
      <c r="N66" s="42">
        <f t="shared" si="36"/>
        <v>15602.882342291672</v>
      </c>
      <c r="O66" s="42">
        <f t="shared" ref="O66" si="37">O65+O64+O62+O60+O58</f>
        <v>17053.106682481255</v>
      </c>
      <c r="P66" s="42">
        <f t="shared" ref="P66" si="38">P65+P64+P62+P60+P58</f>
        <v>18616.855804996907</v>
      </c>
      <c r="Q66" s="42">
        <f t="shared" ref="Q66" si="39">Q65+Q64+Q62+Q60+Q58</f>
        <v>20311.446060010359</v>
      </c>
    </row>
    <row r="67" spans="1:17" ht="14" customHeight="1" x14ac:dyDescent="0.2">
      <c r="F67" s="4"/>
      <c r="G67" s="4"/>
    </row>
    <row r="68" spans="1:17" ht="14" customHeight="1" x14ac:dyDescent="0.2">
      <c r="B68" s="4" t="s">
        <v>178</v>
      </c>
      <c r="F68" s="4"/>
      <c r="G68" s="4"/>
    </row>
    <row r="69" spans="1:17" ht="14" customHeight="1" x14ac:dyDescent="0.2">
      <c r="F69" s="4"/>
      <c r="G69" s="4"/>
    </row>
    <row r="70" spans="1:17" ht="14" customHeight="1" x14ac:dyDescent="0.2">
      <c r="F70" s="4"/>
      <c r="G70" s="4"/>
    </row>
    <row r="71" spans="1:17" ht="14" customHeight="1" x14ac:dyDescent="0.2">
      <c r="F71" s="4"/>
      <c r="G71" s="4"/>
      <c r="Q71" s="124" t="str">
        <f>$Q$1</f>
        <v>CURRENTLY RUNNING: BASE CASE SCENARIO</v>
      </c>
    </row>
    <row r="72" spans="1:17" ht="25" x14ac:dyDescent="0.3">
      <c r="B72" s="27" t="str">
        <f>$B$2</f>
        <v>Adobe Inc.</v>
      </c>
      <c r="C72" s="25"/>
      <c r="D72" s="25"/>
      <c r="E72" s="25"/>
      <c r="F72" s="25"/>
      <c r="G72" s="25"/>
      <c r="H72" s="25"/>
      <c r="I72" s="25"/>
      <c r="J72" s="26"/>
      <c r="K72" s="25"/>
      <c r="L72" s="25"/>
      <c r="M72" s="25"/>
      <c r="N72" s="25"/>
      <c r="O72" s="25"/>
      <c r="P72" s="25"/>
      <c r="Q72" s="25"/>
    </row>
    <row r="73" spans="1:17" ht="19" thickBot="1" x14ac:dyDescent="0.3">
      <c r="B73" s="29" t="s">
        <v>27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1:17" ht="8" customHeight="1" x14ac:dyDescent="0.25">
      <c r="B74" s="3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spans="1:17" x14ac:dyDescent="0.2">
      <c r="M75" s="61" t="s">
        <v>7</v>
      </c>
      <c r="N75" s="6"/>
      <c r="O75" s="6"/>
      <c r="P75" s="6"/>
      <c r="Q75" s="6"/>
    </row>
    <row r="76" spans="1:17" ht="8" customHeight="1" x14ac:dyDescent="0.2"/>
    <row r="77" spans="1:17" x14ac:dyDescent="0.2">
      <c r="H77" s="7">
        <f>I77-1</f>
        <v>2021</v>
      </c>
      <c r="I77" s="7">
        <f>J77-1</f>
        <v>2022</v>
      </c>
      <c r="J77" s="7">
        <f>K77-1</f>
        <v>2023</v>
      </c>
      <c r="K77" s="7">
        <f>L77-1</f>
        <v>2024</v>
      </c>
      <c r="L77" s="7">
        <f>M77-1</f>
        <v>2025</v>
      </c>
      <c r="M77" s="8">
        <f>$M$7</f>
        <v>2026</v>
      </c>
      <c r="N77" s="9">
        <f>M77+1</f>
        <v>2027</v>
      </c>
      <c r="O77" s="9">
        <f>N77+1</f>
        <v>2028</v>
      </c>
      <c r="P77" s="9">
        <f>O77+1</f>
        <v>2029</v>
      </c>
      <c r="Q77" s="9">
        <f>P77+1</f>
        <v>2030</v>
      </c>
    </row>
    <row r="78" spans="1:17" ht="8" customHeight="1" x14ac:dyDescent="0.2"/>
    <row r="79" spans="1:17" s="10" customFormat="1" ht="14" customHeight="1" x14ac:dyDescent="0.2">
      <c r="A79" s="86"/>
      <c r="B79" s="10" t="s">
        <v>11</v>
      </c>
      <c r="F79" s="10" t="s">
        <v>6</v>
      </c>
      <c r="H79" s="42">
        <f>H15</f>
        <v>15785</v>
      </c>
      <c r="I79" s="42">
        <f t="shared" ref="I79:Q79" si="40">I15</f>
        <v>17606</v>
      </c>
      <c r="J79" s="42">
        <f t="shared" si="40"/>
        <v>19409</v>
      </c>
      <c r="K79" s="42">
        <f t="shared" si="40"/>
        <v>21505</v>
      </c>
      <c r="L79" s="42">
        <f t="shared" si="40"/>
        <v>23769</v>
      </c>
      <c r="M79" s="42">
        <f t="shared" si="40"/>
        <v>26294.531250000004</v>
      </c>
      <c r="N79" s="42">
        <f t="shared" si="40"/>
        <v>28946.096770833341</v>
      </c>
      <c r="O79" s="42">
        <f t="shared" si="40"/>
        <v>31723.046221875007</v>
      </c>
      <c r="P79" s="42">
        <f t="shared" si="40"/>
        <v>34633.937212853132</v>
      </c>
      <c r="Q79" s="42">
        <f t="shared" si="40"/>
        <v>37789.849051205412</v>
      </c>
    </row>
    <row r="80" spans="1:17" ht="14" customHeight="1" x14ac:dyDescent="0.2">
      <c r="B80" s="4" t="s">
        <v>28</v>
      </c>
      <c r="F80" s="4"/>
      <c r="G80" s="4"/>
      <c r="H80" s="44">
        <f>H54</f>
        <v>1865</v>
      </c>
      <c r="I80" s="44">
        <f t="shared" ref="I80:Q80" si="41">I54</f>
        <v>2165</v>
      </c>
      <c r="J80" s="44">
        <f t="shared" si="41"/>
        <v>2354</v>
      </c>
      <c r="K80" s="44">
        <f t="shared" si="41"/>
        <v>2358</v>
      </c>
      <c r="L80" s="44">
        <f t="shared" si="41"/>
        <v>2551</v>
      </c>
      <c r="M80" s="44">
        <f t="shared" si="41"/>
        <v>3002.8354687500005</v>
      </c>
      <c r="N80" s="44">
        <f t="shared" si="41"/>
        <v>3305.6442512291674</v>
      </c>
      <c r="O80" s="44">
        <f t="shared" si="41"/>
        <v>3622.7718785381257</v>
      </c>
      <c r="P80" s="44">
        <f t="shared" si="41"/>
        <v>3955.1956297078277</v>
      </c>
      <c r="Q80" s="44">
        <f t="shared" si="41"/>
        <v>4315.6007616476581</v>
      </c>
    </row>
    <row r="81" spans="1:17" s="10" customFormat="1" ht="14" customHeight="1" x14ac:dyDescent="0.2">
      <c r="A81" s="86"/>
      <c r="B81" s="10" t="s">
        <v>29</v>
      </c>
      <c r="F81" s="10" t="s">
        <v>6</v>
      </c>
      <c r="H81" s="42">
        <f>H79-H80</f>
        <v>13920</v>
      </c>
      <c r="I81" s="42">
        <f t="shared" ref="I81:L81" si="42">I79-I80</f>
        <v>15441</v>
      </c>
      <c r="J81" s="42">
        <f t="shared" si="42"/>
        <v>17055</v>
      </c>
      <c r="K81" s="42">
        <f t="shared" si="42"/>
        <v>19147</v>
      </c>
      <c r="L81" s="42">
        <f t="shared" si="42"/>
        <v>21218</v>
      </c>
      <c r="M81" s="42">
        <f t="shared" ref="M81" si="43">M79-M80</f>
        <v>23291.695781250004</v>
      </c>
      <c r="N81" s="42">
        <f t="shared" ref="N81" si="44">N79-N80</f>
        <v>25640.452519604172</v>
      </c>
      <c r="O81" s="42">
        <f t="shared" ref="O81" si="45">O79-O80</f>
        <v>28100.274343336881</v>
      </c>
      <c r="P81" s="42">
        <f t="shared" ref="P81" si="46">P79-P80</f>
        <v>30678.741583145304</v>
      </c>
      <c r="Q81" s="42">
        <f t="shared" ref="Q81" si="47">Q79-Q80</f>
        <v>33474.248289557756</v>
      </c>
    </row>
    <row r="82" spans="1:17" ht="14" customHeight="1" x14ac:dyDescent="0.2">
      <c r="F82" s="4"/>
      <c r="G82" s="4"/>
    </row>
    <row r="83" spans="1:17" ht="14" customHeight="1" x14ac:dyDescent="0.2">
      <c r="B83" s="4" t="s">
        <v>21</v>
      </c>
      <c r="F83" s="4" t="s">
        <v>6</v>
      </c>
      <c r="G83" s="4"/>
      <c r="H83" s="44">
        <f t="shared" ref="H83:Q83" si="48">H66</f>
        <v>8118</v>
      </c>
      <c r="I83" s="44">
        <f t="shared" si="48"/>
        <v>9343</v>
      </c>
      <c r="J83" s="44">
        <f t="shared" si="48"/>
        <v>10405</v>
      </c>
      <c r="K83" s="44">
        <f t="shared" si="48"/>
        <v>12406</v>
      </c>
      <c r="L83" s="44">
        <f t="shared" si="48"/>
        <v>12512</v>
      </c>
      <c r="M83" s="44">
        <f t="shared" si="48"/>
        <v>14215.613020833338</v>
      </c>
      <c r="N83" s="44">
        <f t="shared" si="48"/>
        <v>15602.882342291672</v>
      </c>
      <c r="O83" s="44">
        <f t="shared" si="48"/>
        <v>17053.106682481255</v>
      </c>
      <c r="P83" s="44">
        <f t="shared" si="48"/>
        <v>18616.855804996907</v>
      </c>
      <c r="Q83" s="44">
        <f t="shared" si="48"/>
        <v>20311.446060010359</v>
      </c>
    </row>
    <row r="84" spans="1:17" s="10" customFormat="1" ht="14" customHeight="1" x14ac:dyDescent="0.2">
      <c r="A84" s="86"/>
      <c r="B84" s="10" t="s">
        <v>32</v>
      </c>
      <c r="F84" s="10" t="s">
        <v>6</v>
      </c>
      <c r="H84" s="42">
        <f t="shared" ref="H84:Q84" si="49">H81-H83</f>
        <v>5802</v>
      </c>
      <c r="I84" s="42">
        <f t="shared" si="49"/>
        <v>6098</v>
      </c>
      <c r="J84" s="42">
        <f t="shared" si="49"/>
        <v>6650</v>
      </c>
      <c r="K84" s="42">
        <f t="shared" si="49"/>
        <v>6741</v>
      </c>
      <c r="L84" s="42">
        <f t="shared" si="49"/>
        <v>8706</v>
      </c>
      <c r="M84" s="42">
        <f t="shared" si="49"/>
        <v>9076.0827604166661</v>
      </c>
      <c r="N84" s="42">
        <f t="shared" si="49"/>
        <v>10037.5701773125</v>
      </c>
      <c r="O84" s="42">
        <f t="shared" si="49"/>
        <v>11047.167660855626</v>
      </c>
      <c r="P84" s="42">
        <f t="shared" si="49"/>
        <v>12061.885778148397</v>
      </c>
      <c r="Q84" s="42">
        <f t="shared" si="49"/>
        <v>13162.802229547397</v>
      </c>
    </row>
    <row r="85" spans="1:17" ht="14" customHeight="1" x14ac:dyDescent="0.2">
      <c r="F85" s="4"/>
      <c r="G85" s="4"/>
    </row>
    <row r="86" spans="1:17" ht="14" customHeight="1" x14ac:dyDescent="0.2">
      <c r="B86" s="10" t="s">
        <v>30</v>
      </c>
      <c r="F86" s="10" t="s">
        <v>6</v>
      </c>
      <c r="G86" s="4"/>
    </row>
    <row r="87" spans="1:17" ht="14" customHeight="1" x14ac:dyDescent="0.2">
      <c r="C87" s="4" t="s">
        <v>26</v>
      </c>
      <c r="F87" s="4"/>
      <c r="G87" s="4"/>
      <c r="H87" s="45">
        <v>-113</v>
      </c>
      <c r="I87" s="45">
        <v>-112</v>
      </c>
      <c r="J87" s="45">
        <v>-113</v>
      </c>
      <c r="K87" s="45">
        <v>-169</v>
      </c>
      <c r="L87" s="45">
        <v>-263</v>
      </c>
      <c r="M87" s="43">
        <f>M293</f>
        <v>-175.946</v>
      </c>
      <c r="N87" s="43">
        <f>N293</f>
        <v>-133.7685281911387</v>
      </c>
      <c r="O87" s="43">
        <f t="shared" ref="O87:Q87" si="50">O293</f>
        <v>-85.90787154777351</v>
      </c>
      <c r="P87" s="43">
        <f t="shared" si="50"/>
        <v>-3.9164756141305759</v>
      </c>
      <c r="Q87" s="43">
        <f t="shared" si="50"/>
        <v>58.272837747790504</v>
      </c>
    </row>
    <row r="88" spans="1:17" ht="14" customHeight="1" x14ac:dyDescent="0.2">
      <c r="C88" s="4" t="s">
        <v>109</v>
      </c>
      <c r="F88" s="4"/>
      <c r="G88" s="4"/>
      <c r="H88" s="45">
        <v>16</v>
      </c>
      <c r="I88" s="45">
        <v>-19</v>
      </c>
      <c r="J88" s="45">
        <v>16</v>
      </c>
      <c r="K88" s="45">
        <v>48</v>
      </c>
      <c r="L88" s="45">
        <v>43</v>
      </c>
      <c r="M88" s="43">
        <f>Assumptions!$G$28</f>
        <v>0</v>
      </c>
      <c r="N88" s="43">
        <f>Assumptions!$G$28</f>
        <v>0</v>
      </c>
      <c r="O88" s="43">
        <f>Assumptions!$G$28</f>
        <v>0</v>
      </c>
      <c r="P88" s="43">
        <f>Assumptions!$G$28</f>
        <v>0</v>
      </c>
      <c r="Q88" s="43">
        <f>Assumptions!$G$28</f>
        <v>0</v>
      </c>
    </row>
    <row r="89" spans="1:17" ht="14" customHeight="1" x14ac:dyDescent="0.2">
      <c r="C89" s="4" t="s">
        <v>110</v>
      </c>
      <c r="F89" s="4"/>
      <c r="G89" s="4"/>
      <c r="H89" s="46">
        <v>0</v>
      </c>
      <c r="I89" s="46">
        <v>41</v>
      </c>
      <c r="J89" s="46">
        <v>246</v>
      </c>
      <c r="K89" s="46">
        <v>311</v>
      </c>
      <c r="L89" s="46">
        <v>248</v>
      </c>
      <c r="M89" s="44">
        <f>Assumptions!$G$29</f>
        <v>0</v>
      </c>
      <c r="N89" s="44">
        <f>Assumptions!$G$29</f>
        <v>0</v>
      </c>
      <c r="O89" s="44">
        <f>Assumptions!$G$29</f>
        <v>0</v>
      </c>
      <c r="P89" s="44">
        <f>Assumptions!$G$29</f>
        <v>0</v>
      </c>
      <c r="Q89" s="44">
        <f>Assumptions!$G$29</f>
        <v>0</v>
      </c>
    </row>
    <row r="90" spans="1:17" s="10" customFormat="1" ht="14" customHeight="1" x14ac:dyDescent="0.2">
      <c r="A90" s="86"/>
      <c r="B90" s="10" t="s">
        <v>31</v>
      </c>
      <c r="F90" s="10" t="s">
        <v>6</v>
      </c>
      <c r="H90" s="42">
        <f>SUM(H87:H89)</f>
        <v>-97</v>
      </c>
      <c r="I90" s="42">
        <f t="shared" ref="I90:L90" si="51">SUM(I87:I89)</f>
        <v>-90</v>
      </c>
      <c r="J90" s="42">
        <f t="shared" si="51"/>
        <v>149</v>
      </c>
      <c r="K90" s="42">
        <f t="shared" si="51"/>
        <v>190</v>
      </c>
      <c r="L90" s="42">
        <f t="shared" si="51"/>
        <v>28</v>
      </c>
      <c r="M90" s="42">
        <f t="shared" ref="M90" si="52">SUM(M87:M89)</f>
        <v>-175.946</v>
      </c>
      <c r="N90" s="42">
        <f t="shared" ref="N90" si="53">SUM(N87:N89)</f>
        <v>-133.7685281911387</v>
      </c>
      <c r="O90" s="42">
        <f t="shared" ref="O90" si="54">SUM(O87:O89)</f>
        <v>-85.90787154777351</v>
      </c>
      <c r="P90" s="42">
        <f t="shared" ref="P90" si="55">SUM(P87:P89)</f>
        <v>-3.9164756141305759</v>
      </c>
      <c r="Q90" s="42">
        <f t="shared" ref="Q90" si="56">SUM(Q87:Q89)</f>
        <v>58.272837747790504</v>
      </c>
    </row>
    <row r="91" spans="1:17" ht="14" customHeight="1" x14ac:dyDescent="0.2">
      <c r="F91" s="4"/>
      <c r="G91" s="4"/>
    </row>
    <row r="92" spans="1:17" s="10" customFormat="1" ht="14" customHeight="1" x14ac:dyDescent="0.2">
      <c r="A92" s="86"/>
      <c r="B92" s="10" t="s">
        <v>33</v>
      </c>
      <c r="F92" s="10" t="s">
        <v>6</v>
      </c>
      <c r="H92" s="42">
        <f>H84+H90</f>
        <v>5705</v>
      </c>
      <c r="I92" s="42">
        <f t="shared" ref="I92:Q92" si="57">I84+I90</f>
        <v>6008</v>
      </c>
      <c r="J92" s="42">
        <f t="shared" si="57"/>
        <v>6799</v>
      </c>
      <c r="K92" s="42">
        <f t="shared" si="57"/>
        <v>6931</v>
      </c>
      <c r="L92" s="42">
        <f t="shared" si="57"/>
        <v>8734</v>
      </c>
      <c r="M92" s="42">
        <f>M84+M90</f>
        <v>8900.1367604166662</v>
      </c>
      <c r="N92" s="42">
        <f t="shared" si="57"/>
        <v>9903.8016491213621</v>
      </c>
      <c r="O92" s="42">
        <f t="shared" si="57"/>
        <v>10961.259789307853</v>
      </c>
      <c r="P92" s="42">
        <f t="shared" si="57"/>
        <v>12057.969302534266</v>
      </c>
      <c r="Q92" s="42">
        <f t="shared" si="57"/>
        <v>13221.075067295187</v>
      </c>
    </row>
    <row r="93" spans="1:17" ht="14" customHeight="1" x14ac:dyDescent="0.2">
      <c r="B93" s="4" t="s">
        <v>111</v>
      </c>
      <c r="F93" s="4"/>
      <c r="G93" s="4"/>
      <c r="H93" s="46">
        <v>883</v>
      </c>
      <c r="I93" s="46">
        <v>1252</v>
      </c>
      <c r="J93" s="46">
        <v>1371</v>
      </c>
      <c r="K93" s="46">
        <v>1371</v>
      </c>
      <c r="L93" s="46">
        <v>1604</v>
      </c>
      <c r="M93" s="73">
        <f>M313</f>
        <v>1780.0273520833334</v>
      </c>
      <c r="N93" s="73">
        <f>N313</f>
        <v>1980.7603298242725</v>
      </c>
      <c r="O93" s="73">
        <f t="shared" ref="O93:Q93" si="58">O313</f>
        <v>2192.2519578615706</v>
      </c>
      <c r="P93" s="73">
        <f t="shared" si="58"/>
        <v>2411.5938605068532</v>
      </c>
      <c r="Q93" s="73">
        <f t="shared" si="58"/>
        <v>2644.2150134590374</v>
      </c>
    </row>
    <row r="94" spans="1:17" s="10" customFormat="1" ht="14" customHeight="1" x14ac:dyDescent="0.2">
      <c r="A94" s="86"/>
      <c r="B94" s="10" t="s">
        <v>34</v>
      </c>
      <c r="F94" s="10" t="s">
        <v>6</v>
      </c>
      <c r="H94" s="42">
        <f>H92-H93</f>
        <v>4822</v>
      </c>
      <c r="I94" s="42">
        <f t="shared" ref="I94:N94" si="59">I92-I93</f>
        <v>4756</v>
      </c>
      <c r="J94" s="42">
        <f t="shared" si="59"/>
        <v>5428</v>
      </c>
      <c r="K94" s="42">
        <f t="shared" si="59"/>
        <v>5560</v>
      </c>
      <c r="L94" s="42">
        <f t="shared" si="59"/>
        <v>7130</v>
      </c>
      <c r="M94" s="42">
        <f t="shared" si="59"/>
        <v>7120.1094083333328</v>
      </c>
      <c r="N94" s="42">
        <f t="shared" si="59"/>
        <v>7923.04131929709</v>
      </c>
      <c r="O94" s="42">
        <f t="shared" ref="O94" si="60">O92-O93</f>
        <v>8769.0078314462826</v>
      </c>
      <c r="P94" s="42">
        <f t="shared" ref="P94" si="61">P92-P93</f>
        <v>9646.3754420274126</v>
      </c>
      <c r="Q94" s="42">
        <f t="shared" ref="Q94" si="62">Q92-Q93</f>
        <v>10576.86005383615</v>
      </c>
    </row>
    <row r="95" spans="1:17" s="101" customFormat="1" ht="14" customHeight="1" x14ac:dyDescent="0.2">
      <c r="A95" s="96"/>
      <c r="C95" s="101" t="s">
        <v>12</v>
      </c>
      <c r="H95" s="121"/>
      <c r="I95" s="102">
        <f>(I94-H94)/H94</f>
        <v>-1.3687266694317711E-2</v>
      </c>
      <c r="J95" s="102">
        <f t="shared" ref="J95:Q95" si="63">(J94-I94)/I94</f>
        <v>0.14129520605550883</v>
      </c>
      <c r="K95" s="102">
        <f t="shared" si="63"/>
        <v>2.4318349299926309E-2</v>
      </c>
      <c r="L95" s="102">
        <f t="shared" si="63"/>
        <v>0.28237410071942448</v>
      </c>
      <c r="M95" s="102">
        <f t="shared" si="63"/>
        <v>-1.3871797568958213E-3</v>
      </c>
      <c r="N95" s="102">
        <f t="shared" si="63"/>
        <v>0.11276960295357408</v>
      </c>
      <c r="O95" s="102">
        <f t="shared" si="63"/>
        <v>0.10677295221076095</v>
      </c>
      <c r="P95" s="102">
        <f t="shared" si="63"/>
        <v>0.10005323606107726</v>
      </c>
      <c r="Q95" s="102">
        <f t="shared" si="63"/>
        <v>9.6459506205283457E-2</v>
      </c>
    </row>
    <row r="96" spans="1:17" ht="14" customHeight="1" x14ac:dyDescent="0.2">
      <c r="F96" s="4"/>
      <c r="G96" s="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ht="14" customHeight="1" x14ac:dyDescent="0.2">
      <c r="B97" s="64" t="s">
        <v>53</v>
      </c>
      <c r="C97" s="32"/>
      <c r="D97" s="32"/>
      <c r="E97" s="32"/>
      <c r="F97" s="32"/>
      <c r="G97" s="32"/>
      <c r="H97" s="93"/>
      <c r="I97" s="93"/>
      <c r="J97" s="93"/>
      <c r="K97" s="93"/>
      <c r="L97" s="93"/>
      <c r="M97" s="93"/>
      <c r="N97" s="93"/>
      <c r="O97" s="93"/>
      <c r="P97" s="93"/>
      <c r="Q97" s="84"/>
    </row>
    <row r="98" spans="1:17" ht="14" customHeight="1" x14ac:dyDescent="0.2">
      <c r="B98" s="55"/>
      <c r="C98" s="4" t="s">
        <v>54</v>
      </c>
      <c r="F98" s="4"/>
      <c r="G98" s="4"/>
      <c r="H98" s="14">
        <f t="shared" ref="H98:Q98" si="64">H84/H79</f>
        <v>0.36756414317389929</v>
      </c>
      <c r="I98" s="14">
        <f t="shared" si="64"/>
        <v>0.34635919572872886</v>
      </c>
      <c r="J98" s="14">
        <f t="shared" si="64"/>
        <v>0.3426245556185275</v>
      </c>
      <c r="K98" s="14">
        <f t="shared" si="64"/>
        <v>0.31346198558474775</v>
      </c>
      <c r="L98" s="14">
        <f t="shared" si="64"/>
        <v>0.36627540073204595</v>
      </c>
      <c r="M98" s="14">
        <f t="shared" si="64"/>
        <v>0.34516997751829726</v>
      </c>
      <c r="N98" s="14">
        <f t="shared" si="64"/>
        <v>0.34676765771841661</v>
      </c>
      <c r="O98" s="14">
        <f t="shared" si="64"/>
        <v>0.34823792089795963</v>
      </c>
      <c r="P98" s="14">
        <f t="shared" si="64"/>
        <v>0.34826781904749959</v>
      </c>
      <c r="Q98" s="66">
        <f t="shared" si="64"/>
        <v>0.34831581919556603</v>
      </c>
    </row>
    <row r="99" spans="1:17" ht="14" customHeight="1" x14ac:dyDescent="0.2">
      <c r="B99" s="56"/>
      <c r="C99" s="15" t="s">
        <v>55</v>
      </c>
      <c r="D99" s="15"/>
      <c r="E99" s="15"/>
      <c r="F99" s="15"/>
      <c r="G99" s="15"/>
      <c r="H99" s="16">
        <f>H94/H144</f>
        <v>0.3258768669324863</v>
      </c>
      <c r="I99" s="16">
        <f t="shared" ref="I99:Q99" si="65">I94/I144</f>
        <v>0.33848124688634262</v>
      </c>
      <c r="J99" s="16">
        <f t="shared" si="65"/>
        <v>0.32861121201113935</v>
      </c>
      <c r="K99" s="16">
        <f t="shared" si="65"/>
        <v>0.39418645870258773</v>
      </c>
      <c r="L99" s="16">
        <f t="shared" si="65"/>
        <v>0.61343887120364793</v>
      </c>
      <c r="M99" s="16">
        <f t="shared" si="65"/>
        <v>0.55010810646080921</v>
      </c>
      <c r="N99" s="16">
        <f t="shared" si="65"/>
        <v>0.52658260991280592</v>
      </c>
      <c r="O99" s="16">
        <f t="shared" si="65"/>
        <v>0.48540995656195662</v>
      </c>
      <c r="P99" s="16">
        <f t="shared" si="65"/>
        <v>0.43963997419423795</v>
      </c>
      <c r="Q99" s="67">
        <f t="shared" si="65"/>
        <v>0.39438827068348498</v>
      </c>
    </row>
    <row r="100" spans="1:17" ht="14" customHeight="1" x14ac:dyDescent="0.2">
      <c r="F100" s="4"/>
      <c r="G100" s="4"/>
    </row>
    <row r="101" spans="1:17" ht="14" customHeight="1" x14ac:dyDescent="0.2">
      <c r="F101" s="4"/>
      <c r="G101" s="4"/>
    </row>
    <row r="102" spans="1:17" ht="14" customHeight="1" x14ac:dyDescent="0.2">
      <c r="F102" s="4"/>
      <c r="G102" s="4"/>
      <c r="Q102" s="124" t="str">
        <f>$Q$1</f>
        <v>CURRENTLY RUNNING: BASE CASE SCENARIO</v>
      </c>
    </row>
    <row r="103" spans="1:17" ht="25" x14ac:dyDescent="0.3">
      <c r="B103" s="27" t="str">
        <f>$B$2</f>
        <v>Adobe Inc.</v>
      </c>
      <c r="C103" s="25"/>
      <c r="D103" s="25"/>
      <c r="E103" s="25"/>
      <c r="F103" s="25"/>
      <c r="G103" s="25"/>
      <c r="H103" s="25"/>
      <c r="I103" s="25"/>
      <c r="J103" s="26"/>
      <c r="K103" s="25"/>
      <c r="L103" s="25"/>
      <c r="M103" s="25"/>
      <c r="N103" s="25"/>
      <c r="O103" s="25"/>
      <c r="P103" s="25"/>
      <c r="Q103" s="25"/>
    </row>
    <row r="104" spans="1:17" ht="19" thickBot="1" x14ac:dyDescent="0.3">
      <c r="B104" s="29" t="s">
        <v>45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1:17" ht="8" customHeight="1" x14ac:dyDescent="0.25">
      <c r="B105" s="3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1:17" x14ac:dyDescent="0.2">
      <c r="M106" s="61" t="s">
        <v>7</v>
      </c>
      <c r="N106" s="6"/>
      <c r="O106" s="6"/>
      <c r="P106" s="6"/>
      <c r="Q106" s="6"/>
    </row>
    <row r="107" spans="1:17" ht="8" customHeight="1" x14ac:dyDescent="0.2"/>
    <row r="108" spans="1:17" x14ac:dyDescent="0.2">
      <c r="H108" s="7">
        <f>I108-1</f>
        <v>2021</v>
      </c>
      <c r="I108" s="7">
        <f>J108-1</f>
        <v>2022</v>
      </c>
      <c r="J108" s="7">
        <f>K108-1</f>
        <v>2023</v>
      </c>
      <c r="K108" s="7">
        <f>L108-1</f>
        <v>2024</v>
      </c>
      <c r="L108" s="7">
        <f>M108-1</f>
        <v>2025</v>
      </c>
      <c r="M108" s="8">
        <f>$M$7</f>
        <v>2026</v>
      </c>
      <c r="N108" s="9">
        <f>M108+1</f>
        <v>2027</v>
      </c>
      <c r="O108" s="9">
        <f>N108+1</f>
        <v>2028</v>
      </c>
      <c r="P108" s="9">
        <f>O108+1</f>
        <v>2029</v>
      </c>
      <c r="Q108" s="9">
        <f>P108+1</f>
        <v>2030</v>
      </c>
    </row>
    <row r="109" spans="1:17" ht="8" customHeight="1" x14ac:dyDescent="0.2"/>
    <row r="110" spans="1:17" ht="14" customHeight="1" x14ac:dyDescent="0.2">
      <c r="B110" s="10" t="s">
        <v>46</v>
      </c>
      <c r="F110" s="4"/>
      <c r="G110" s="4"/>
    </row>
    <row r="111" spans="1:17" ht="14" customHeight="1" x14ac:dyDescent="0.2">
      <c r="A111" s="87"/>
      <c r="C111" s="4" t="s">
        <v>47</v>
      </c>
      <c r="F111" s="4"/>
      <c r="G111" s="4"/>
      <c r="H111" s="45">
        <v>3844</v>
      </c>
      <c r="I111" s="45">
        <v>4236</v>
      </c>
      <c r="J111" s="45">
        <v>7141</v>
      </c>
      <c r="K111" s="45">
        <v>7613</v>
      </c>
      <c r="L111" s="45">
        <v>5431</v>
      </c>
      <c r="M111" s="43">
        <f>M192</f>
        <v>5176.7471808861301</v>
      </c>
      <c r="N111" s="43">
        <f>N192</f>
        <v>6738.8128452226483</v>
      </c>
      <c r="O111" s="43">
        <f t="shared" ref="O111:Q111" si="66">O192</f>
        <v>9217.9524385869408</v>
      </c>
      <c r="P111" s="43">
        <f t="shared" si="66"/>
        <v>11276.883774779049</v>
      </c>
      <c r="Q111" s="43">
        <f t="shared" si="66"/>
        <v>16355.280677005423</v>
      </c>
    </row>
    <row r="112" spans="1:17" ht="14" customHeight="1" x14ac:dyDescent="0.2">
      <c r="A112" s="87"/>
      <c r="C112" s="4" t="s">
        <v>122</v>
      </c>
      <c r="F112" s="4"/>
      <c r="G112" s="4"/>
      <c r="H112" s="45">
        <v>1954</v>
      </c>
      <c r="I112" s="45">
        <v>1860</v>
      </c>
      <c r="J112" s="45">
        <v>701</v>
      </c>
      <c r="K112" s="45">
        <v>273</v>
      </c>
      <c r="L112" s="45">
        <v>1164</v>
      </c>
      <c r="M112" s="43">
        <f>L112-M173</f>
        <v>1164</v>
      </c>
      <c r="N112" s="43">
        <f>M112-N173</f>
        <v>1164</v>
      </c>
      <c r="O112" s="43">
        <f>N112-O173</f>
        <v>1164</v>
      </c>
      <c r="P112" s="43">
        <f>O112-P173</f>
        <v>1164</v>
      </c>
      <c r="Q112" s="43">
        <f>P112-Q173</f>
        <v>1164</v>
      </c>
    </row>
    <row r="113" spans="1:22" ht="14" customHeight="1" x14ac:dyDescent="0.2">
      <c r="A113" s="87"/>
      <c r="C113" s="4" t="s">
        <v>112</v>
      </c>
      <c r="F113" s="4"/>
      <c r="G113" s="4"/>
      <c r="H113" s="45">
        <v>1878</v>
      </c>
      <c r="I113" s="45">
        <v>2065</v>
      </c>
      <c r="J113" s="45">
        <v>2224</v>
      </c>
      <c r="K113" s="45">
        <v>2072</v>
      </c>
      <c r="L113" s="45">
        <v>2344</v>
      </c>
      <c r="M113" s="43">
        <f>M224</f>
        <v>3097.7119006849321</v>
      </c>
      <c r="N113" s="43">
        <f t="shared" ref="N113:Q113" si="67">N224</f>
        <v>3410.0881127283114</v>
      </c>
      <c r="O113" s="43">
        <f t="shared" si="67"/>
        <v>3727.0245561219272</v>
      </c>
      <c r="P113" s="43">
        <f t="shared" si="67"/>
        <v>4080.1624661717387</v>
      </c>
      <c r="Q113" s="43">
        <f t="shared" si="67"/>
        <v>4451.9548197310487</v>
      </c>
    </row>
    <row r="114" spans="1:22" ht="14" customHeight="1" x14ac:dyDescent="0.2">
      <c r="A114" s="87"/>
      <c r="C114" s="4" t="s">
        <v>52</v>
      </c>
      <c r="F114" s="4"/>
      <c r="G114" s="4"/>
      <c r="H114" s="46">
        <v>993</v>
      </c>
      <c r="I114" s="46">
        <v>835</v>
      </c>
      <c r="J114" s="46">
        <v>1018</v>
      </c>
      <c r="K114" s="46">
        <v>1274</v>
      </c>
      <c r="L114" s="46">
        <v>1224</v>
      </c>
      <c r="M114" s="44">
        <f>M225</f>
        <v>1421.5613020833339</v>
      </c>
      <c r="N114" s="44">
        <f t="shared" ref="N114:Q114" si="68">N225</f>
        <v>1560.2882342291673</v>
      </c>
      <c r="O114" s="44">
        <f t="shared" si="68"/>
        <v>1705.3106682481257</v>
      </c>
      <c r="P114" s="44">
        <f t="shared" si="68"/>
        <v>1861.6855804996908</v>
      </c>
      <c r="Q114" s="44">
        <f t="shared" si="68"/>
        <v>2031.144606001036</v>
      </c>
    </row>
    <row r="115" spans="1:22" s="10" customFormat="1" ht="14" customHeight="1" x14ac:dyDescent="0.2">
      <c r="A115" s="86"/>
      <c r="B115" s="10" t="s">
        <v>48</v>
      </c>
      <c r="H115" s="42">
        <f>SUM(H111:H114)</f>
        <v>8669</v>
      </c>
      <c r="I115" s="42">
        <f>SUM(I111:I114)</f>
        <v>8996</v>
      </c>
      <c r="J115" s="42">
        <f>SUM(J111:J114)</f>
        <v>11084</v>
      </c>
      <c r="K115" s="42">
        <f t="shared" ref="K115:L115" si="69">SUM(K111:K114)</f>
        <v>11232</v>
      </c>
      <c r="L115" s="42">
        <f t="shared" si="69"/>
        <v>10163</v>
      </c>
      <c r="M115" s="42">
        <f>SUM(M111:M114)</f>
        <v>10860.020383654395</v>
      </c>
      <c r="N115" s="42">
        <f>SUM(N111:N114)</f>
        <v>12873.189192180127</v>
      </c>
      <c r="O115" s="42">
        <f t="shared" ref="O115:Q115" si="70">SUM(O111:O114)</f>
        <v>15814.287662956995</v>
      </c>
      <c r="P115" s="42">
        <f t="shared" si="70"/>
        <v>18382.731821450481</v>
      </c>
      <c r="Q115" s="42">
        <f t="shared" si="70"/>
        <v>24002.380102737508</v>
      </c>
    </row>
    <row r="116" spans="1:22" ht="14" customHeight="1" x14ac:dyDescent="0.2">
      <c r="A116" s="88"/>
      <c r="C116" s="4" t="s">
        <v>49</v>
      </c>
      <c r="F116" s="4"/>
      <c r="G116" s="4"/>
      <c r="H116" s="45">
        <v>1673</v>
      </c>
      <c r="I116" s="45">
        <v>1908</v>
      </c>
      <c r="J116" s="45">
        <v>2030</v>
      </c>
      <c r="K116" s="45">
        <v>1936</v>
      </c>
      <c r="L116" s="45">
        <v>1873</v>
      </c>
      <c r="M116" s="43">
        <f>M255</f>
        <v>1844.4939999999999</v>
      </c>
      <c r="N116" s="43">
        <f>N255</f>
        <v>1819.4657319999999</v>
      </c>
      <c r="O116" s="43">
        <f t="shared" ref="O116:Q116" si="71">O255</f>
        <v>1797.4909126959999</v>
      </c>
      <c r="P116" s="43">
        <f t="shared" si="71"/>
        <v>1778.1970213470879</v>
      </c>
      <c r="Q116" s="43">
        <f t="shared" si="71"/>
        <v>1761.2569847427433</v>
      </c>
    </row>
    <row r="117" spans="1:22" ht="14" customHeight="1" x14ac:dyDescent="0.2">
      <c r="A117" s="88"/>
      <c r="C117" s="4" t="s">
        <v>123</v>
      </c>
      <c r="F117" s="4"/>
      <c r="G117" s="4"/>
      <c r="H117" s="45">
        <v>443</v>
      </c>
      <c r="I117" s="45">
        <v>407</v>
      </c>
      <c r="J117" s="45">
        <v>358</v>
      </c>
      <c r="K117" s="45">
        <v>281</v>
      </c>
      <c r="L117" s="45">
        <v>312</v>
      </c>
      <c r="M117" s="43">
        <f>L117+Assumptions!$M$24</f>
        <v>312</v>
      </c>
      <c r="N117" s="43">
        <f>M117+Assumptions!$M$24</f>
        <v>312</v>
      </c>
      <c r="O117" s="43">
        <f>N117+Assumptions!$M$24</f>
        <v>312</v>
      </c>
      <c r="P117" s="43">
        <f>O117+Assumptions!$M$24</f>
        <v>312</v>
      </c>
      <c r="Q117" s="43">
        <f>P117+Assumptions!$M$24</f>
        <v>312</v>
      </c>
      <c r="S117" s="43"/>
    </row>
    <row r="118" spans="1:22" ht="14" customHeight="1" x14ac:dyDescent="0.2">
      <c r="A118" s="88"/>
      <c r="C118" s="4" t="s">
        <v>50</v>
      </c>
      <c r="F118" s="4"/>
      <c r="G118" s="4"/>
      <c r="H118" s="45">
        <v>12668</v>
      </c>
      <c r="I118" s="45">
        <v>12787</v>
      </c>
      <c r="J118" s="45">
        <v>12805</v>
      </c>
      <c r="K118" s="45">
        <v>12788</v>
      </c>
      <c r="L118" s="45">
        <v>12857</v>
      </c>
      <c r="M118" s="43">
        <f>L118-M176</f>
        <v>12857</v>
      </c>
      <c r="N118" s="43">
        <f t="shared" ref="N118:Q118" si="72">M118-N176</f>
        <v>12857</v>
      </c>
      <c r="O118" s="43">
        <f t="shared" si="72"/>
        <v>12857</v>
      </c>
      <c r="P118" s="43">
        <f t="shared" si="72"/>
        <v>12857</v>
      </c>
      <c r="Q118" s="43">
        <f t="shared" si="72"/>
        <v>12857</v>
      </c>
      <c r="R118" s="43"/>
      <c r="S118" s="43"/>
      <c r="T118" s="43"/>
      <c r="U118" s="43"/>
      <c r="V118" s="43"/>
    </row>
    <row r="119" spans="1:22" ht="14" customHeight="1" x14ac:dyDescent="0.2">
      <c r="A119" s="88"/>
      <c r="C119" s="4" t="s">
        <v>113</v>
      </c>
      <c r="F119" s="4"/>
      <c r="G119" s="4"/>
      <c r="H119" s="45">
        <v>1820</v>
      </c>
      <c r="I119" s="45">
        <v>1449</v>
      </c>
      <c r="J119" s="45">
        <v>1088</v>
      </c>
      <c r="K119" s="45">
        <v>782</v>
      </c>
      <c r="L119" s="45">
        <v>495</v>
      </c>
      <c r="M119" s="43">
        <f>M261</f>
        <v>400.66666666666663</v>
      </c>
      <c r="N119" s="43">
        <f>N261</f>
        <v>335</v>
      </c>
      <c r="O119" s="43">
        <f t="shared" ref="O119:Q119" si="73">O261</f>
        <v>302</v>
      </c>
      <c r="P119" s="43">
        <f t="shared" si="73"/>
        <v>259.66666666666663</v>
      </c>
      <c r="Q119" s="43">
        <f t="shared" si="73"/>
        <v>207.99999999999994</v>
      </c>
    </row>
    <row r="120" spans="1:22" ht="14" customHeight="1" x14ac:dyDescent="0.2">
      <c r="A120" s="87"/>
      <c r="C120" s="4" t="s">
        <v>76</v>
      </c>
      <c r="F120" s="4"/>
      <c r="G120" s="4"/>
      <c r="H120" s="45">
        <v>1080</v>
      </c>
      <c r="I120" s="45">
        <v>777</v>
      </c>
      <c r="J120" s="45">
        <v>1191</v>
      </c>
      <c r="K120" s="45">
        <v>1657</v>
      </c>
      <c r="L120" s="45">
        <v>2186</v>
      </c>
      <c r="M120" s="43">
        <f>L120-M314</f>
        <v>2631.0068380208331</v>
      </c>
      <c r="N120" s="43">
        <f>M120-N314</f>
        <v>3126.1969204769011</v>
      </c>
      <c r="O120" s="43">
        <f t="shared" ref="O120:Q120" si="74">N120-O314</f>
        <v>3674.2599099422937</v>
      </c>
      <c r="P120" s="43">
        <f t="shared" si="74"/>
        <v>4277.158375069007</v>
      </c>
      <c r="Q120" s="43">
        <f t="shared" si="74"/>
        <v>4938.2121284337663</v>
      </c>
      <c r="R120" s="10"/>
    </row>
    <row r="121" spans="1:22" ht="14" customHeight="1" x14ac:dyDescent="0.2">
      <c r="C121" s="4" t="s">
        <v>114</v>
      </c>
      <c r="F121" s="4"/>
      <c r="G121" s="4"/>
      <c r="H121" s="46">
        <v>883</v>
      </c>
      <c r="I121" s="46">
        <v>841</v>
      </c>
      <c r="J121" s="46">
        <v>1223</v>
      </c>
      <c r="K121" s="46">
        <v>1554</v>
      </c>
      <c r="L121" s="46">
        <v>1610</v>
      </c>
      <c r="M121" s="44">
        <f>L121</f>
        <v>1610</v>
      </c>
      <c r="N121" s="44">
        <f t="shared" ref="N121:Q121" si="75">M121</f>
        <v>1610</v>
      </c>
      <c r="O121" s="44">
        <f t="shared" si="75"/>
        <v>1610</v>
      </c>
      <c r="P121" s="44">
        <f t="shared" si="75"/>
        <v>1610</v>
      </c>
      <c r="Q121" s="44">
        <f t="shared" si="75"/>
        <v>1610</v>
      </c>
      <c r="R121" s="10"/>
      <c r="S121" s="43"/>
      <c r="T121" s="43"/>
      <c r="U121" s="43"/>
      <c r="V121" s="43"/>
    </row>
    <row r="122" spans="1:22" s="10" customFormat="1" ht="14" customHeight="1" x14ac:dyDescent="0.2">
      <c r="A122" s="86"/>
      <c r="B122" s="10" t="s">
        <v>51</v>
      </c>
      <c r="H122" s="42">
        <f t="shared" ref="H122:I122" si="76">SUM(H115:H121)</f>
        <v>27236</v>
      </c>
      <c r="I122" s="42">
        <f t="shared" si="76"/>
        <v>27165</v>
      </c>
      <c r="J122" s="42">
        <f>SUM(J115:J121)</f>
        <v>29779</v>
      </c>
      <c r="K122" s="42">
        <f t="shared" ref="K122:L122" si="77">SUM(K115:K121)</f>
        <v>30230</v>
      </c>
      <c r="L122" s="42">
        <f t="shared" si="77"/>
        <v>29496</v>
      </c>
      <c r="M122" s="42">
        <f>SUM(M115:M121)</f>
        <v>30515.187888341894</v>
      </c>
      <c r="N122" s="42">
        <f>SUM(N115:N121)</f>
        <v>32932.851844657023</v>
      </c>
      <c r="O122" s="42">
        <f t="shared" ref="O122:Q122" si="78">SUM(O115:O121)</f>
        <v>36367.038485595287</v>
      </c>
      <c r="P122" s="42">
        <f t="shared" si="78"/>
        <v>39476.753884533238</v>
      </c>
      <c r="Q122" s="42">
        <f t="shared" si="78"/>
        <v>45688.849215914015</v>
      </c>
    </row>
    <row r="123" spans="1:22" ht="14" customHeight="1" x14ac:dyDescent="0.2">
      <c r="F123" s="4"/>
      <c r="G123" s="4"/>
    </row>
    <row r="124" spans="1:22" ht="14" customHeight="1" x14ac:dyDescent="0.2">
      <c r="B124" s="10" t="s">
        <v>115</v>
      </c>
      <c r="F124" s="4"/>
      <c r="G124" s="4"/>
      <c r="L124" s="43"/>
      <c r="R124" s="43"/>
    </row>
    <row r="125" spans="1:22" ht="14" customHeight="1" x14ac:dyDescent="0.2">
      <c r="A125" s="87"/>
      <c r="C125" s="4" t="s">
        <v>116</v>
      </c>
      <c r="F125" s="4"/>
      <c r="G125" s="4"/>
      <c r="H125" s="45">
        <v>312</v>
      </c>
      <c r="I125" s="45">
        <v>379</v>
      </c>
      <c r="J125" s="45">
        <v>314</v>
      </c>
      <c r="K125" s="45">
        <v>361</v>
      </c>
      <c r="L125" s="45">
        <v>417</v>
      </c>
      <c r="M125" s="43">
        <f>M229</f>
        <v>493.6167893835617</v>
      </c>
      <c r="N125" s="43">
        <f>N229</f>
        <v>543.39357554452067</v>
      </c>
      <c r="O125" s="43">
        <f t="shared" ref="O125:Q125" si="79">O229</f>
        <v>593.89702926854511</v>
      </c>
      <c r="P125" s="43">
        <f t="shared" si="79"/>
        <v>650.16914460950591</v>
      </c>
      <c r="Q125" s="43">
        <f t="shared" si="79"/>
        <v>709.41382383249174</v>
      </c>
    </row>
    <row r="126" spans="1:22" ht="14" customHeight="1" x14ac:dyDescent="0.2">
      <c r="A126" s="88"/>
      <c r="C126" s="4" t="s">
        <v>56</v>
      </c>
      <c r="F126" s="4"/>
      <c r="G126" s="4"/>
      <c r="H126" s="45">
        <v>0</v>
      </c>
      <c r="I126" s="45">
        <v>500</v>
      </c>
      <c r="J126" s="45">
        <v>0</v>
      </c>
      <c r="K126" s="45">
        <v>1499</v>
      </c>
      <c r="L126" s="45">
        <v>0</v>
      </c>
      <c r="M126" s="43">
        <f>M286</f>
        <v>0</v>
      </c>
      <c r="N126" s="43">
        <f>M126</f>
        <v>0</v>
      </c>
      <c r="O126" s="43">
        <f t="shared" ref="O126:Q126" si="80">N126</f>
        <v>0</v>
      </c>
      <c r="P126" s="43">
        <f t="shared" si="80"/>
        <v>0</v>
      </c>
      <c r="Q126" s="43">
        <f t="shared" si="80"/>
        <v>0</v>
      </c>
      <c r="R126" s="43"/>
    </row>
    <row r="127" spans="1:22" ht="14" customHeight="1" x14ac:dyDescent="0.2">
      <c r="A127" s="87"/>
      <c r="C127" s="4" t="s">
        <v>119</v>
      </c>
      <c r="F127" s="4"/>
      <c r="G127" s="4"/>
      <c r="H127" s="45">
        <v>4733</v>
      </c>
      <c r="I127" s="45">
        <v>5297</v>
      </c>
      <c r="J127" s="45">
        <v>5837</v>
      </c>
      <c r="K127" s="45">
        <v>6131</v>
      </c>
      <c r="L127" s="45">
        <v>6905</v>
      </c>
      <c r="M127" s="43">
        <f>M230-M133</f>
        <v>7710.7703125000007</v>
      </c>
      <c r="N127" s="43">
        <f t="shared" ref="N127:Q127" si="81">N230-N133</f>
        <v>8500.9368377083356</v>
      </c>
      <c r="O127" s="43">
        <f t="shared" si="81"/>
        <v>9328.4677741187515</v>
      </c>
      <c r="P127" s="43">
        <f t="shared" si="81"/>
        <v>10195.913289430233</v>
      </c>
      <c r="Q127" s="43">
        <f t="shared" si="81"/>
        <v>11136.375017259212</v>
      </c>
      <c r="R127" s="43"/>
    </row>
    <row r="128" spans="1:22" ht="14" customHeight="1" x14ac:dyDescent="0.2">
      <c r="A128" s="88"/>
      <c r="C128" s="4" t="s">
        <v>126</v>
      </c>
      <c r="F128" s="4"/>
      <c r="G128" s="4"/>
      <c r="H128" s="45">
        <v>54</v>
      </c>
      <c r="I128" s="45">
        <v>75</v>
      </c>
      <c r="J128" s="45">
        <v>85</v>
      </c>
      <c r="K128" s="45">
        <v>119</v>
      </c>
      <c r="L128" s="45">
        <v>153</v>
      </c>
      <c r="M128" s="43">
        <f>L128+M316</f>
        <v>153</v>
      </c>
      <c r="N128" s="43">
        <f>M128+N316</f>
        <v>153</v>
      </c>
      <c r="O128" s="43">
        <f t="shared" ref="O128:Q128" si="82">N128+O316</f>
        <v>153</v>
      </c>
      <c r="P128" s="43">
        <f t="shared" si="82"/>
        <v>153</v>
      </c>
      <c r="Q128" s="43">
        <f t="shared" si="82"/>
        <v>153</v>
      </c>
      <c r="R128" s="43"/>
    </row>
    <row r="129" spans="1:19" ht="14" customHeight="1" x14ac:dyDescent="0.2">
      <c r="A129" s="88"/>
      <c r="C129" s="4" t="s">
        <v>125</v>
      </c>
      <c r="F129" s="4"/>
      <c r="G129" s="4"/>
      <c r="H129" s="45">
        <v>97</v>
      </c>
      <c r="I129" s="45">
        <v>87</v>
      </c>
      <c r="J129" s="45">
        <v>73</v>
      </c>
      <c r="K129" s="45">
        <v>75</v>
      </c>
      <c r="L129" s="45">
        <v>77</v>
      </c>
      <c r="M129" s="43">
        <f>L129+M169</f>
        <v>77</v>
      </c>
      <c r="N129" s="43">
        <f>M129+N169</f>
        <v>77</v>
      </c>
      <c r="O129" s="43">
        <f t="shared" ref="O129:Q129" si="83">N129+O169</f>
        <v>77</v>
      </c>
      <c r="P129" s="43">
        <f t="shared" si="83"/>
        <v>77</v>
      </c>
      <c r="Q129" s="43">
        <f t="shared" si="83"/>
        <v>77</v>
      </c>
      <c r="R129" s="43"/>
    </row>
    <row r="130" spans="1:19" ht="14" customHeight="1" x14ac:dyDescent="0.2">
      <c r="A130" s="87"/>
      <c r="C130" s="4" t="s">
        <v>118</v>
      </c>
      <c r="F130" s="4"/>
      <c r="G130" s="4"/>
      <c r="H130" s="46">
        <v>1736</v>
      </c>
      <c r="I130" s="46">
        <v>1790</v>
      </c>
      <c r="J130" s="46">
        <v>1942</v>
      </c>
      <c r="K130" s="46">
        <v>2336</v>
      </c>
      <c r="L130" s="46">
        <v>2648</v>
      </c>
      <c r="M130" s="44">
        <f>M231</f>
        <v>2814.6913781250009</v>
      </c>
      <c r="N130" s="44">
        <f>N231</f>
        <v>3089.3707037737513</v>
      </c>
      <c r="O130" s="44">
        <f t="shared" ref="O130:Q130" si="84">O231</f>
        <v>3376.5151231312889</v>
      </c>
      <c r="P130" s="44">
        <f t="shared" si="84"/>
        <v>3686.1374493893877</v>
      </c>
      <c r="Q130" s="44">
        <f t="shared" si="84"/>
        <v>4021.6663198820515</v>
      </c>
      <c r="R130" s="43"/>
    </row>
    <row r="131" spans="1:19" s="10" customFormat="1" ht="14" customHeight="1" x14ac:dyDescent="0.2">
      <c r="A131" s="86"/>
      <c r="B131" s="10" t="s">
        <v>57</v>
      </c>
      <c r="H131" s="42">
        <f>SUM(H125:H130)</f>
        <v>6932</v>
      </c>
      <c r="I131" s="42">
        <f t="shared" ref="I131:L131" si="85">SUM(I125:I130)</f>
        <v>8128</v>
      </c>
      <c r="J131" s="42">
        <f t="shared" si="85"/>
        <v>8251</v>
      </c>
      <c r="K131" s="42">
        <f t="shared" si="85"/>
        <v>10521</v>
      </c>
      <c r="L131" s="42">
        <f t="shared" si="85"/>
        <v>10200</v>
      </c>
      <c r="M131" s="42">
        <f>SUM(M125:M130)</f>
        <v>11249.078480008562</v>
      </c>
      <c r="N131" s="42">
        <f>SUM(N125:N130)</f>
        <v>12363.701117026607</v>
      </c>
      <c r="O131" s="42">
        <f t="shared" ref="O131:Q131" si="86">SUM(O125:O130)</f>
        <v>13528.879926518584</v>
      </c>
      <c r="P131" s="42">
        <f t="shared" si="86"/>
        <v>14762.219883429127</v>
      </c>
      <c r="Q131" s="42">
        <f t="shared" si="86"/>
        <v>16097.455160973755</v>
      </c>
      <c r="R131" s="43"/>
    </row>
    <row r="132" spans="1:19" ht="14" customHeight="1" x14ac:dyDescent="0.2">
      <c r="A132" s="88"/>
      <c r="C132" s="4" t="s">
        <v>58</v>
      </c>
      <c r="F132" s="4"/>
      <c r="G132" s="4"/>
      <c r="H132" s="45">
        <v>4123</v>
      </c>
      <c r="I132" s="45">
        <v>3629</v>
      </c>
      <c r="J132" s="45">
        <v>3634</v>
      </c>
      <c r="K132" s="45">
        <v>4129</v>
      </c>
      <c r="L132" s="45">
        <v>6210</v>
      </c>
      <c r="M132" s="43">
        <f>M290</f>
        <v>4860</v>
      </c>
      <c r="N132" s="43">
        <f>N290</f>
        <v>4060</v>
      </c>
      <c r="O132" s="43">
        <f t="shared" ref="O132:Q132" si="87">O290</f>
        <v>3310</v>
      </c>
      <c r="P132" s="43">
        <f t="shared" si="87"/>
        <v>1310</v>
      </c>
      <c r="Q132" s="43">
        <f t="shared" si="87"/>
        <v>1310</v>
      </c>
      <c r="R132" s="43"/>
    </row>
    <row r="133" spans="1:19" ht="14" customHeight="1" x14ac:dyDescent="0.2">
      <c r="A133" s="87"/>
      <c r="C133" s="4" t="s">
        <v>121</v>
      </c>
      <c r="F133" s="4"/>
      <c r="G133" s="4"/>
      <c r="H133" s="45">
        <v>145</v>
      </c>
      <c r="I133" s="45">
        <v>117</v>
      </c>
      <c r="J133" s="45">
        <v>113</v>
      </c>
      <c r="K133" s="45">
        <v>128</v>
      </c>
      <c r="L133" s="45">
        <v>125</v>
      </c>
      <c r="M133" s="43">
        <f>L133</f>
        <v>125</v>
      </c>
      <c r="N133" s="43">
        <f t="shared" ref="N133:Q133" si="88">M133</f>
        <v>125</v>
      </c>
      <c r="O133" s="43">
        <f t="shared" si="88"/>
        <v>125</v>
      </c>
      <c r="P133" s="43">
        <f t="shared" si="88"/>
        <v>125</v>
      </c>
      <c r="Q133" s="43">
        <f t="shared" si="88"/>
        <v>125</v>
      </c>
    </row>
    <row r="134" spans="1:19" ht="14" customHeight="1" x14ac:dyDescent="0.2">
      <c r="A134" s="87"/>
      <c r="C134" s="4" t="s">
        <v>120</v>
      </c>
      <c r="F134" s="4"/>
      <c r="G134" s="4"/>
      <c r="H134" s="45">
        <v>534</v>
      </c>
      <c r="I134" s="45">
        <v>530</v>
      </c>
      <c r="J134" s="45">
        <v>514</v>
      </c>
      <c r="K134" s="45">
        <v>548</v>
      </c>
      <c r="L134" s="45">
        <v>469</v>
      </c>
      <c r="M134" s="43">
        <f>L134</f>
        <v>469</v>
      </c>
      <c r="N134" s="43">
        <f>M134</f>
        <v>469</v>
      </c>
      <c r="O134" s="43">
        <f t="shared" ref="O134:Q134" si="89">N134</f>
        <v>469</v>
      </c>
      <c r="P134" s="43">
        <f t="shared" si="89"/>
        <v>469</v>
      </c>
      <c r="Q134" s="43">
        <f t="shared" si="89"/>
        <v>469</v>
      </c>
      <c r="R134" s="43"/>
      <c r="S134" s="43"/>
    </row>
    <row r="135" spans="1:19" ht="14" customHeight="1" x14ac:dyDescent="0.2">
      <c r="A135" s="88"/>
      <c r="C135" s="4" t="s">
        <v>124</v>
      </c>
      <c r="F135" s="4"/>
      <c r="G135" s="4"/>
      <c r="H135" s="45">
        <v>453</v>
      </c>
      <c r="I135" s="45">
        <v>417</v>
      </c>
      <c r="J135" s="45">
        <v>373</v>
      </c>
      <c r="K135" s="45">
        <v>353</v>
      </c>
      <c r="L135" s="45">
        <v>361</v>
      </c>
      <c r="M135" s="43">
        <f>L135</f>
        <v>361</v>
      </c>
      <c r="N135" s="43">
        <f>M135</f>
        <v>361</v>
      </c>
      <c r="O135" s="43">
        <f t="shared" ref="O135:Q135" si="90">N135</f>
        <v>361</v>
      </c>
      <c r="P135" s="43">
        <f t="shared" si="90"/>
        <v>361</v>
      </c>
      <c r="Q135" s="43">
        <f t="shared" si="90"/>
        <v>361</v>
      </c>
      <c r="R135" s="43"/>
    </row>
    <row r="136" spans="1:19" ht="14" customHeight="1" x14ac:dyDescent="0.2">
      <c r="A136" s="87"/>
      <c r="C136" s="4" t="s">
        <v>127</v>
      </c>
      <c r="F136" s="4"/>
      <c r="G136" s="4"/>
      <c r="H136" s="46">
        <v>252</v>
      </c>
      <c r="I136" s="46">
        <v>293</v>
      </c>
      <c r="J136" s="46">
        <v>376</v>
      </c>
      <c r="K136" s="46">
        <v>446</v>
      </c>
      <c r="L136" s="46">
        <v>508</v>
      </c>
      <c r="M136" s="44">
        <f>L136+M177</f>
        <v>508</v>
      </c>
      <c r="N136" s="44">
        <f t="shared" ref="N136:Q136" si="91">M136+N177</f>
        <v>508</v>
      </c>
      <c r="O136" s="44">
        <f t="shared" si="91"/>
        <v>508</v>
      </c>
      <c r="P136" s="44">
        <f t="shared" si="91"/>
        <v>508</v>
      </c>
      <c r="Q136" s="44">
        <f t="shared" si="91"/>
        <v>508</v>
      </c>
    </row>
    <row r="137" spans="1:19" s="10" customFormat="1" ht="14" customHeight="1" x14ac:dyDescent="0.2">
      <c r="A137" s="86"/>
      <c r="B137" s="10" t="s">
        <v>59</v>
      </c>
      <c r="H137" s="42">
        <f t="shared" ref="H137:K137" si="92">SUM(H131:H136)</f>
        <v>12439</v>
      </c>
      <c r="I137" s="42">
        <f t="shared" si="92"/>
        <v>13114</v>
      </c>
      <c r="J137" s="42">
        <f t="shared" si="92"/>
        <v>13261</v>
      </c>
      <c r="K137" s="42">
        <f t="shared" si="92"/>
        <v>16125</v>
      </c>
      <c r="L137" s="42">
        <f>SUM(L131:L136)</f>
        <v>17873</v>
      </c>
      <c r="M137" s="42">
        <f>SUM(M131:M136)</f>
        <v>17572.07848000856</v>
      </c>
      <c r="N137" s="42">
        <f>SUM(N131:N136)</f>
        <v>17886.701117026605</v>
      </c>
      <c r="O137" s="42">
        <f t="shared" ref="O137:Q137" si="93">SUM(O131:O136)</f>
        <v>18301.879926518584</v>
      </c>
      <c r="P137" s="42">
        <f t="shared" si="93"/>
        <v>17535.219883429127</v>
      </c>
      <c r="Q137" s="42">
        <f t="shared" si="93"/>
        <v>18870.455160973754</v>
      </c>
    </row>
    <row r="138" spans="1:19" ht="14" customHeight="1" x14ac:dyDescent="0.2">
      <c r="F138" s="4"/>
      <c r="G138" s="4"/>
    </row>
    <row r="139" spans="1:19" ht="14" customHeight="1" x14ac:dyDescent="0.2">
      <c r="B139" s="10" t="s">
        <v>128</v>
      </c>
      <c r="F139" s="4"/>
      <c r="G139" s="4"/>
    </row>
    <row r="140" spans="1:19" ht="14" customHeight="1" x14ac:dyDescent="0.2">
      <c r="A140" s="87"/>
      <c r="C140" s="4" t="s">
        <v>150</v>
      </c>
      <c r="F140" s="4"/>
      <c r="G140" s="4"/>
      <c r="H140" s="45">
        <v>8428</v>
      </c>
      <c r="I140" s="45">
        <v>9868</v>
      </c>
      <c r="J140" s="45">
        <v>11586</v>
      </c>
      <c r="K140" s="45">
        <v>13419</v>
      </c>
      <c r="L140" s="45">
        <v>15361</v>
      </c>
      <c r="M140" s="43">
        <f>L140+M165</f>
        <v>17361</v>
      </c>
      <c r="N140" s="43">
        <f>M140+N165</f>
        <v>19361</v>
      </c>
      <c r="O140" s="43">
        <f t="shared" ref="O140:Q140" si="94">N140+O165</f>
        <v>21461</v>
      </c>
      <c r="P140" s="43">
        <f t="shared" si="94"/>
        <v>23561</v>
      </c>
      <c r="Q140" s="43">
        <f t="shared" si="94"/>
        <v>25761</v>
      </c>
    </row>
    <row r="141" spans="1:19" ht="14" customHeight="1" x14ac:dyDescent="0.2">
      <c r="A141" s="87"/>
      <c r="C141" s="4" t="s">
        <v>60</v>
      </c>
      <c r="F141" s="4"/>
      <c r="G141" s="4"/>
      <c r="H141" s="45">
        <v>23905</v>
      </c>
      <c r="I141" s="45">
        <v>28319</v>
      </c>
      <c r="J141" s="45">
        <v>33346</v>
      </c>
      <c r="K141" s="45">
        <v>38470</v>
      </c>
      <c r="L141" s="45">
        <v>45354</v>
      </c>
      <c r="M141" s="43">
        <f>L141+M163+M263</f>
        <v>52874.10940833333</v>
      </c>
      <c r="N141" s="43">
        <f t="shared" ref="N141:Q141" si="95">M141+N163+N263</f>
        <v>61177.150727630418</v>
      </c>
      <c r="O141" s="43">
        <f t="shared" si="95"/>
        <v>70296.158559076706</v>
      </c>
      <c r="P141" s="43">
        <f t="shared" si="95"/>
        <v>80272.534001104126</v>
      </c>
      <c r="Q141" s="43">
        <f t="shared" si="95"/>
        <v>91149.394054940276</v>
      </c>
    </row>
    <row r="142" spans="1:19" ht="14" customHeight="1" x14ac:dyDescent="0.2">
      <c r="A142" s="87"/>
      <c r="C142" s="4" t="s">
        <v>61</v>
      </c>
      <c r="F142" s="4"/>
      <c r="G142" s="4"/>
      <c r="H142" s="45">
        <v>-137</v>
      </c>
      <c r="I142" s="45">
        <v>-293</v>
      </c>
      <c r="J142" s="45">
        <v>-285</v>
      </c>
      <c r="K142" s="45">
        <v>-201</v>
      </c>
      <c r="L142" s="45">
        <v>-245</v>
      </c>
      <c r="M142" s="43">
        <f>L142+M182</f>
        <v>-445</v>
      </c>
      <c r="N142" s="43">
        <f>M142+N182</f>
        <v>-645</v>
      </c>
      <c r="O142" s="43">
        <f t="shared" ref="O142:Q142" si="96">N142+O182</f>
        <v>-845</v>
      </c>
      <c r="P142" s="43">
        <f t="shared" si="96"/>
        <v>-1045</v>
      </c>
      <c r="Q142" s="43">
        <f t="shared" si="96"/>
        <v>-1245</v>
      </c>
    </row>
    <row r="143" spans="1:19" ht="14" customHeight="1" x14ac:dyDescent="0.2">
      <c r="A143" s="87"/>
      <c r="C143" s="4" t="s">
        <v>62</v>
      </c>
      <c r="F143" s="4"/>
      <c r="G143" s="4"/>
      <c r="H143" s="46">
        <v>-17399</v>
      </c>
      <c r="I143" s="46">
        <v>-23843</v>
      </c>
      <c r="J143" s="46">
        <v>-28129</v>
      </c>
      <c r="K143" s="46">
        <v>-37583</v>
      </c>
      <c r="L143" s="46">
        <v>-48847</v>
      </c>
      <c r="M143" s="44">
        <f>L143+M181</f>
        <v>-56847</v>
      </c>
      <c r="N143" s="44">
        <f>M143+N181</f>
        <v>-64847</v>
      </c>
      <c r="O143" s="44">
        <f t="shared" ref="O143:Q143" si="97">N143+O181</f>
        <v>-72847</v>
      </c>
      <c r="P143" s="44">
        <f t="shared" si="97"/>
        <v>-80847</v>
      </c>
      <c r="Q143" s="44">
        <f t="shared" si="97"/>
        <v>-88847</v>
      </c>
    </row>
    <row r="144" spans="1:19" s="10" customFormat="1" ht="14" customHeight="1" x14ac:dyDescent="0.2">
      <c r="A144" s="86"/>
      <c r="B144" s="10" t="s">
        <v>67</v>
      </c>
      <c r="H144" s="42">
        <f>SUM(H140:H143)</f>
        <v>14797</v>
      </c>
      <c r="I144" s="42">
        <f t="shared" ref="I144:L144" si="98">SUM(I140:I143)</f>
        <v>14051</v>
      </c>
      <c r="J144" s="42">
        <f t="shared" si="98"/>
        <v>16518</v>
      </c>
      <c r="K144" s="42">
        <f t="shared" si="98"/>
        <v>14105</v>
      </c>
      <c r="L144" s="42">
        <f t="shared" si="98"/>
        <v>11623</v>
      </c>
      <c r="M144" s="42">
        <f>SUM(M140:M143)</f>
        <v>12943.10940833333</v>
      </c>
      <c r="N144" s="42">
        <f>SUM(N140:N143)</f>
        <v>15046.150727630418</v>
      </c>
      <c r="O144" s="42">
        <f t="shared" ref="O144:Q144" si="99">SUM(O140:O143)</f>
        <v>18065.158559076706</v>
      </c>
      <c r="P144" s="42">
        <f t="shared" si="99"/>
        <v>21941.534001104126</v>
      </c>
      <c r="Q144" s="42">
        <f t="shared" si="99"/>
        <v>26818.394054940276</v>
      </c>
      <c r="R144" s="42"/>
    </row>
    <row r="145" spans="1:17" s="10" customFormat="1" ht="14" customHeight="1" thickBot="1" x14ac:dyDescent="0.25">
      <c r="A145" s="86"/>
      <c r="H145" s="42"/>
      <c r="I145" s="42"/>
      <c r="J145" s="42"/>
      <c r="K145" s="42"/>
      <c r="L145" s="42"/>
    </row>
    <row r="146" spans="1:17" s="10" customFormat="1" ht="14" customHeight="1" thickTop="1" thickBot="1" x14ac:dyDescent="0.25">
      <c r="A146" s="86"/>
      <c r="B146" s="10" t="s">
        <v>63</v>
      </c>
      <c r="H146" s="83">
        <f t="shared" ref="H146:N146" si="100">H144+H137</f>
        <v>27236</v>
      </c>
      <c r="I146" s="83">
        <f t="shared" si="100"/>
        <v>27165</v>
      </c>
      <c r="J146" s="83">
        <f t="shared" si="100"/>
        <v>29779</v>
      </c>
      <c r="K146" s="83">
        <f t="shared" si="100"/>
        <v>30230</v>
      </c>
      <c r="L146" s="83">
        <f t="shared" si="100"/>
        <v>29496</v>
      </c>
      <c r="M146" s="83">
        <f t="shared" si="100"/>
        <v>30515.18788834189</v>
      </c>
      <c r="N146" s="83">
        <f t="shared" si="100"/>
        <v>32932.851844657023</v>
      </c>
      <c r="O146" s="83">
        <f t="shared" ref="O146:Q146" si="101">O144+O137</f>
        <v>36367.038485595287</v>
      </c>
      <c r="P146" s="83">
        <f t="shared" si="101"/>
        <v>39476.753884533253</v>
      </c>
      <c r="Q146" s="83">
        <f t="shared" si="101"/>
        <v>45688.84921591403</v>
      </c>
    </row>
    <row r="147" spans="1:17" ht="14" customHeight="1" thickTop="1" x14ac:dyDescent="0.2">
      <c r="F147" s="4"/>
      <c r="G147" s="4"/>
    </row>
    <row r="148" spans="1:17" s="21" customFormat="1" ht="14" customHeight="1" x14ac:dyDescent="0.2">
      <c r="A148" s="94"/>
      <c r="B148" s="21" t="s">
        <v>131</v>
      </c>
      <c r="H148" s="95">
        <f t="shared" ref="H148:N148" si="102">H122-H146</f>
        <v>0</v>
      </c>
      <c r="I148" s="95">
        <f t="shared" si="102"/>
        <v>0</v>
      </c>
      <c r="J148" s="95">
        <f t="shared" si="102"/>
        <v>0</v>
      </c>
      <c r="K148" s="95">
        <f t="shared" si="102"/>
        <v>0</v>
      </c>
      <c r="L148" s="95">
        <f t="shared" si="102"/>
        <v>0</v>
      </c>
      <c r="M148" s="95">
        <f t="shared" si="102"/>
        <v>0</v>
      </c>
      <c r="N148" s="95">
        <f t="shared" si="102"/>
        <v>0</v>
      </c>
      <c r="O148" s="95">
        <f t="shared" ref="O148:Q148" si="103">O122-O146</f>
        <v>0</v>
      </c>
      <c r="P148" s="95">
        <f t="shared" si="103"/>
        <v>0</v>
      </c>
      <c r="Q148" s="95">
        <f t="shared" si="103"/>
        <v>0</v>
      </c>
    </row>
    <row r="149" spans="1:17" ht="14" customHeight="1" x14ac:dyDescent="0.2">
      <c r="F149" s="4"/>
      <c r="G149" s="4"/>
    </row>
    <row r="150" spans="1:17" ht="14" customHeight="1" x14ac:dyDescent="0.2">
      <c r="B150" s="4" t="s">
        <v>151</v>
      </c>
      <c r="F150" s="4"/>
      <c r="G150" s="4"/>
    </row>
    <row r="151" spans="1:17" ht="14" customHeight="1" x14ac:dyDescent="0.2">
      <c r="F151" s="4"/>
      <c r="G151" s="4"/>
    </row>
    <row r="152" spans="1:17" ht="14" customHeight="1" x14ac:dyDescent="0.2">
      <c r="F152" s="4"/>
      <c r="G152" s="4"/>
      <c r="M152" s="43"/>
    </row>
    <row r="153" spans="1:17" ht="14" customHeight="1" x14ac:dyDescent="0.2">
      <c r="F153" s="4"/>
      <c r="G153" s="4"/>
      <c r="M153" s="43"/>
      <c r="N153" s="43"/>
    </row>
    <row r="154" spans="1:17" ht="14" customHeight="1" x14ac:dyDescent="0.2">
      <c r="F154" s="4"/>
      <c r="G154" s="4"/>
      <c r="K154" s="43"/>
      <c r="L154" s="43"/>
      <c r="M154" s="43"/>
      <c r="N154" s="43"/>
      <c r="Q154" s="124" t="str">
        <f>$Q$1</f>
        <v>CURRENTLY RUNNING: BASE CASE SCENARIO</v>
      </c>
    </row>
    <row r="155" spans="1:17" ht="25" x14ac:dyDescent="0.3">
      <c r="B155" s="27" t="str">
        <f>$B$2</f>
        <v>Adobe Inc.</v>
      </c>
      <c r="C155" s="25"/>
      <c r="D155" s="25"/>
      <c r="E155" s="25"/>
      <c r="F155" s="25"/>
      <c r="G155" s="25"/>
      <c r="H155" s="25"/>
      <c r="I155" s="25"/>
      <c r="J155" s="26"/>
      <c r="K155" s="25"/>
      <c r="L155" s="25"/>
      <c r="M155" s="25"/>
      <c r="N155" s="25"/>
      <c r="O155" s="25"/>
      <c r="P155" s="25"/>
      <c r="Q155" s="25"/>
    </row>
    <row r="156" spans="1:17" ht="19" thickBot="1" x14ac:dyDescent="0.3">
      <c r="B156" s="29" t="s">
        <v>36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</row>
    <row r="157" spans="1:17" ht="8" customHeight="1" x14ac:dyDescent="0.25">
      <c r="B157" s="3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spans="1:17" x14ac:dyDescent="0.2">
      <c r="M158" s="61" t="s">
        <v>7</v>
      </c>
      <c r="N158" s="6"/>
      <c r="O158" s="6"/>
      <c r="P158" s="6"/>
      <c r="Q158" s="6"/>
    </row>
    <row r="159" spans="1:17" ht="8" customHeight="1" x14ac:dyDescent="0.2"/>
    <row r="160" spans="1:17" x14ac:dyDescent="0.2">
      <c r="H160" s="7">
        <f>I160-1</f>
        <v>2021</v>
      </c>
      <c r="I160" s="7">
        <f>J160-1</f>
        <v>2022</v>
      </c>
      <c r="J160" s="7">
        <f>K160-1</f>
        <v>2023</v>
      </c>
      <c r="K160" s="7">
        <f>L160-1</f>
        <v>2024</v>
      </c>
      <c r="L160" s="7">
        <f>M160-1</f>
        <v>2025</v>
      </c>
      <c r="M160" s="8">
        <f>$M$7</f>
        <v>2026</v>
      </c>
      <c r="N160" s="9">
        <f>M160+1</f>
        <v>2027</v>
      </c>
      <c r="O160" s="9">
        <f>N160+1</f>
        <v>2028</v>
      </c>
      <c r="P160" s="9">
        <f>O160+1</f>
        <v>2029</v>
      </c>
      <c r="Q160" s="9">
        <f>P160+1</f>
        <v>2030</v>
      </c>
    </row>
    <row r="161" spans="1:17" ht="8" customHeight="1" x14ac:dyDescent="0.2"/>
    <row r="162" spans="1:17" ht="14" customHeight="1" x14ac:dyDescent="0.2">
      <c r="B162" s="10" t="s">
        <v>64</v>
      </c>
      <c r="F162" s="4"/>
      <c r="G162" s="4"/>
    </row>
    <row r="163" spans="1:17" ht="14" customHeight="1" x14ac:dyDescent="0.2">
      <c r="C163" s="4" t="s">
        <v>34</v>
      </c>
      <c r="F163" s="4"/>
      <c r="G163" s="4"/>
      <c r="H163" s="43">
        <f>H94</f>
        <v>4822</v>
      </c>
      <c r="I163" s="43">
        <f t="shared" ref="I163:Q163" si="104">I94</f>
        <v>4756</v>
      </c>
      <c r="J163" s="43">
        <f t="shared" si="104"/>
        <v>5428</v>
      </c>
      <c r="K163" s="43">
        <f t="shared" si="104"/>
        <v>5560</v>
      </c>
      <c r="L163" s="43">
        <f t="shared" si="104"/>
        <v>7130</v>
      </c>
      <c r="M163" s="43">
        <f t="shared" si="104"/>
        <v>7120.1094083333328</v>
      </c>
      <c r="N163" s="43">
        <f t="shared" si="104"/>
        <v>7923.04131929709</v>
      </c>
      <c r="O163" s="43">
        <f t="shared" si="104"/>
        <v>8769.0078314462826</v>
      </c>
      <c r="P163" s="43">
        <f t="shared" si="104"/>
        <v>9646.3754420274126</v>
      </c>
      <c r="Q163" s="43">
        <f t="shared" si="104"/>
        <v>10576.86005383615</v>
      </c>
    </row>
    <row r="164" spans="1:17" ht="14" customHeight="1" x14ac:dyDescent="0.2">
      <c r="A164" s="87"/>
      <c r="C164" s="4" t="s">
        <v>146</v>
      </c>
      <c r="F164" s="4"/>
      <c r="G164" s="4"/>
      <c r="H164" s="45">
        <v>788</v>
      </c>
      <c r="I164" s="45">
        <v>856</v>
      </c>
      <c r="J164" s="45">
        <v>872</v>
      </c>
      <c r="K164" s="45">
        <v>857</v>
      </c>
      <c r="L164" s="45">
        <v>818</v>
      </c>
      <c r="M164" s="43">
        <f>M264</f>
        <v>802.83933333333334</v>
      </c>
      <c r="N164" s="43">
        <f>N264</f>
        <v>750.69493466666665</v>
      </c>
      <c r="O164" s="43">
        <f t="shared" ref="O164:Q164" si="105">O264</f>
        <v>684.97481930399999</v>
      </c>
      <c r="P164" s="43">
        <f t="shared" si="105"/>
        <v>671.62722468224536</v>
      </c>
      <c r="Q164" s="43">
        <f t="shared" si="105"/>
        <v>648.60670327101138</v>
      </c>
    </row>
    <row r="165" spans="1:17" ht="14" customHeight="1" x14ac:dyDescent="0.2">
      <c r="A165" s="87"/>
      <c r="C165" s="4" t="s">
        <v>69</v>
      </c>
      <c r="F165" s="4"/>
      <c r="G165" s="4"/>
      <c r="H165" s="45">
        <v>1069</v>
      </c>
      <c r="I165" s="45">
        <v>1440</v>
      </c>
      <c r="J165" s="45">
        <v>1718</v>
      </c>
      <c r="K165" s="45">
        <v>1833</v>
      </c>
      <c r="L165" s="45">
        <v>1942</v>
      </c>
      <c r="M165" s="43">
        <f>Assumptions!R10</f>
        <v>2000</v>
      </c>
      <c r="N165" s="43">
        <f>Assumptions!S10</f>
        <v>2000</v>
      </c>
      <c r="O165" s="43">
        <f>Assumptions!T10</f>
        <v>2100</v>
      </c>
      <c r="P165" s="43">
        <f>Assumptions!U10</f>
        <v>2100</v>
      </c>
      <c r="Q165" s="43">
        <f>Assumptions!V10</f>
        <v>2200</v>
      </c>
    </row>
    <row r="166" spans="1:17" ht="14" customHeight="1" x14ac:dyDescent="0.2">
      <c r="A166" s="87"/>
      <c r="C166" s="4" t="s">
        <v>76</v>
      </c>
      <c r="F166" s="4"/>
      <c r="G166" s="4"/>
      <c r="H166" s="45">
        <v>183</v>
      </c>
      <c r="I166" s="45">
        <v>328</v>
      </c>
      <c r="J166" s="45">
        <v>-426</v>
      </c>
      <c r="K166" s="45">
        <v>-468</v>
      </c>
      <c r="L166" s="45">
        <v>-512</v>
      </c>
      <c r="M166" s="43">
        <f>M314</f>
        <v>-445.00683802083336</v>
      </c>
      <c r="N166" s="43">
        <f>N314</f>
        <v>-495.19008245606813</v>
      </c>
      <c r="O166" s="43">
        <f t="shared" ref="O166:Q166" si="106">O314</f>
        <v>-548.06298946539266</v>
      </c>
      <c r="P166" s="43">
        <f t="shared" si="106"/>
        <v>-602.89846512671329</v>
      </c>
      <c r="Q166" s="43">
        <f t="shared" si="106"/>
        <v>-661.05375336475936</v>
      </c>
    </row>
    <row r="167" spans="1:17" ht="14" customHeight="1" x14ac:dyDescent="0.2">
      <c r="A167" s="87"/>
      <c r="C167" s="4" t="s">
        <v>70</v>
      </c>
      <c r="F167" s="4"/>
      <c r="G167" s="4"/>
      <c r="H167" s="45">
        <v>290</v>
      </c>
      <c r="I167" s="89">
        <f t="shared" ref="I167:N167" si="107">I236</f>
        <v>317</v>
      </c>
      <c r="J167" s="89">
        <f t="shared" si="107"/>
        <v>-344</v>
      </c>
      <c r="K167" s="89">
        <f t="shared" si="107"/>
        <v>76</v>
      </c>
      <c r="L167" s="89">
        <f t="shared" si="107"/>
        <v>650</v>
      </c>
      <c r="M167" s="89">
        <f t="shared" si="107"/>
        <v>97.805277240296164</v>
      </c>
      <c r="N167" s="89">
        <f t="shared" si="107"/>
        <v>663.51949282883197</v>
      </c>
      <c r="O167" s="89">
        <f t="shared" ref="O167:Q167" si="108">O236</f>
        <v>703.21993207940341</v>
      </c>
      <c r="P167" s="89">
        <f t="shared" si="108"/>
        <v>723.82713460916511</v>
      </c>
      <c r="Q167" s="89">
        <f t="shared" si="108"/>
        <v>793.98389848397437</v>
      </c>
    </row>
    <row r="168" spans="1:17" ht="14" customHeight="1" x14ac:dyDescent="0.2">
      <c r="A168" s="87"/>
      <c r="C168" s="4" t="s">
        <v>75</v>
      </c>
      <c r="F168" s="4"/>
      <c r="G168" s="4"/>
      <c r="H168" s="45">
        <v>2</v>
      </c>
      <c r="I168" s="45">
        <v>19</v>
      </c>
      <c r="J168" s="45">
        <v>-11</v>
      </c>
      <c r="K168" s="45">
        <v>68</v>
      </c>
      <c r="L168" s="45">
        <v>-45</v>
      </c>
      <c r="M168" s="43">
        <f>M316</f>
        <v>0</v>
      </c>
      <c r="N168" s="43">
        <f>N316</f>
        <v>0</v>
      </c>
      <c r="O168" s="43">
        <f t="shared" ref="O168:Q168" si="109">O316</f>
        <v>0</v>
      </c>
      <c r="P168" s="43">
        <f t="shared" si="109"/>
        <v>0</v>
      </c>
      <c r="Q168" s="43">
        <f t="shared" si="109"/>
        <v>0</v>
      </c>
    </row>
    <row r="169" spans="1:17" ht="14" customHeight="1" x14ac:dyDescent="0.2">
      <c r="C169" s="4" t="s">
        <v>129</v>
      </c>
      <c r="F169" s="4"/>
      <c r="G169" s="4"/>
      <c r="H169" s="46">
        <f>73-4+7</f>
        <v>76</v>
      </c>
      <c r="I169" s="46">
        <f>83+29+10</f>
        <v>122</v>
      </c>
      <c r="J169" s="46">
        <f>65+0</f>
        <v>65</v>
      </c>
      <c r="K169" s="46">
        <f>78+52</f>
        <v>130</v>
      </c>
      <c r="L169" s="46">
        <f>0+48</f>
        <v>48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</row>
    <row r="170" spans="1:17" s="10" customFormat="1" ht="14" customHeight="1" x14ac:dyDescent="0.2">
      <c r="A170" s="86"/>
      <c r="B170" s="10" t="s">
        <v>133</v>
      </c>
      <c r="H170" s="42">
        <f t="shared" ref="H170:K170" si="110">SUM(H163:H169)</f>
        <v>7230</v>
      </c>
      <c r="I170" s="42">
        <f t="shared" si="110"/>
        <v>7838</v>
      </c>
      <c r="J170" s="42">
        <f t="shared" si="110"/>
        <v>7302</v>
      </c>
      <c r="K170" s="42">
        <f t="shared" si="110"/>
        <v>8056</v>
      </c>
      <c r="L170" s="42">
        <f>SUM(L163:L169)</f>
        <v>10031</v>
      </c>
      <c r="M170" s="42">
        <f>SUM(M163:M169)</f>
        <v>9575.7471808861301</v>
      </c>
      <c r="N170" s="42">
        <f>SUM(N163:N169)</f>
        <v>10842.065664336518</v>
      </c>
      <c r="O170" s="42">
        <f t="shared" ref="O170:Q170" si="111">SUM(O163:O169)</f>
        <v>11709.139593364293</v>
      </c>
      <c r="P170" s="42">
        <f t="shared" si="111"/>
        <v>12538.931336192109</v>
      </c>
      <c r="Q170" s="42">
        <f t="shared" si="111"/>
        <v>13558.396902226374</v>
      </c>
    </row>
    <row r="171" spans="1:17" ht="14" customHeight="1" x14ac:dyDescent="0.2">
      <c r="F171" s="4"/>
      <c r="G171" s="4"/>
    </row>
    <row r="172" spans="1:17" s="10" customFormat="1" ht="14" customHeight="1" x14ac:dyDescent="0.2">
      <c r="A172" s="86"/>
      <c r="B172" s="10" t="s">
        <v>71</v>
      </c>
      <c r="J172" s="42"/>
      <c r="K172" s="42"/>
    </row>
    <row r="173" spans="1:17" ht="14" customHeight="1" x14ac:dyDescent="0.2">
      <c r="A173" s="88"/>
      <c r="C173" s="4" t="s">
        <v>135</v>
      </c>
      <c r="F173" s="4"/>
      <c r="G173" s="4"/>
      <c r="H173" s="45">
        <v>-465</v>
      </c>
      <c r="I173" s="45">
        <v>44</v>
      </c>
      <c r="J173" s="45">
        <v>1188</v>
      </c>
      <c r="K173" s="45">
        <v>438</v>
      </c>
      <c r="L173" s="45">
        <v>-860</v>
      </c>
      <c r="M173" s="43">
        <f>Assumptions!$M$26</f>
        <v>0</v>
      </c>
      <c r="N173" s="43">
        <f>Assumptions!$M$26</f>
        <v>0</v>
      </c>
      <c r="O173" s="43">
        <f>Assumptions!$M$26</f>
        <v>0</v>
      </c>
      <c r="P173" s="43">
        <f>Assumptions!$M$26</f>
        <v>0</v>
      </c>
      <c r="Q173" s="43">
        <f>Assumptions!$M$26</f>
        <v>0</v>
      </c>
    </row>
    <row r="174" spans="1:17" ht="14" customHeight="1" x14ac:dyDescent="0.2">
      <c r="A174" s="88"/>
      <c r="C174" s="4" t="s">
        <v>134</v>
      </c>
      <c r="F174" s="4"/>
      <c r="G174" s="4"/>
      <c r="H174" s="45">
        <v>-348</v>
      </c>
      <c r="I174" s="45">
        <v>-442</v>
      </c>
      <c r="J174" s="45">
        <v>-360</v>
      </c>
      <c r="K174" s="45">
        <v>-183</v>
      </c>
      <c r="L174" s="45">
        <v>-179</v>
      </c>
      <c r="M174" s="43">
        <f>-M251</f>
        <v>-200</v>
      </c>
      <c r="N174" s="43">
        <f>-N251</f>
        <v>-200</v>
      </c>
      <c r="O174" s="43">
        <f t="shared" ref="O174:Q174" si="112">-O251</f>
        <v>-200</v>
      </c>
      <c r="P174" s="43">
        <f t="shared" si="112"/>
        <v>-200</v>
      </c>
      <c r="Q174" s="43">
        <f t="shared" si="112"/>
        <v>-200</v>
      </c>
    </row>
    <row r="175" spans="1:17" ht="14" customHeight="1" x14ac:dyDescent="0.2">
      <c r="A175" s="88"/>
      <c r="C175" s="4" t="s">
        <v>136</v>
      </c>
      <c r="F175" s="4"/>
      <c r="G175" s="4"/>
      <c r="H175" s="45">
        <v>-42</v>
      </c>
      <c r="I175" s="45">
        <v>-46</v>
      </c>
      <c r="J175" s="45">
        <v>-53</v>
      </c>
      <c r="K175" s="45">
        <v>-108</v>
      </c>
      <c r="L175" s="45">
        <v>-134</v>
      </c>
      <c r="M175" s="43">
        <f>-M258</f>
        <v>-80</v>
      </c>
      <c r="N175" s="43">
        <f>-N258</f>
        <v>-80</v>
      </c>
      <c r="O175" s="43">
        <f t="shared" ref="O175:Q175" si="113">-O258</f>
        <v>-80</v>
      </c>
      <c r="P175" s="43">
        <f t="shared" si="113"/>
        <v>-80</v>
      </c>
      <c r="Q175" s="43">
        <f t="shared" si="113"/>
        <v>-80</v>
      </c>
    </row>
    <row r="176" spans="1:17" ht="14" customHeight="1" x14ac:dyDescent="0.2">
      <c r="A176" s="88"/>
      <c r="C176" s="4" t="s">
        <v>95</v>
      </c>
      <c r="F176" s="4"/>
      <c r="G176" s="4"/>
      <c r="H176" s="45">
        <v>-2682</v>
      </c>
      <c r="I176" s="45">
        <v>-126</v>
      </c>
      <c r="J176" s="45">
        <v>0</v>
      </c>
      <c r="K176" s="45">
        <v>0</v>
      </c>
      <c r="L176" s="45">
        <v>-17</v>
      </c>
      <c r="M176" s="43">
        <f>-M259</f>
        <v>0</v>
      </c>
      <c r="N176" s="43">
        <f>-N259</f>
        <v>0</v>
      </c>
      <c r="O176" s="43">
        <f t="shared" ref="O176:Q176" si="114">-O259</f>
        <v>0</v>
      </c>
      <c r="P176" s="43">
        <f t="shared" si="114"/>
        <v>0</v>
      </c>
      <c r="Q176" s="43">
        <f t="shared" si="114"/>
        <v>0</v>
      </c>
    </row>
    <row r="177" spans="1:18" ht="14" customHeight="1" x14ac:dyDescent="0.2">
      <c r="A177" s="88"/>
      <c r="C177" s="4" t="s">
        <v>84</v>
      </c>
      <c r="F177" s="4"/>
      <c r="G177" s="4"/>
      <c r="H177" s="46">
        <v>0</v>
      </c>
      <c r="I177" s="46">
        <v>0</v>
      </c>
      <c r="J177" s="46">
        <v>1</v>
      </c>
      <c r="K177" s="46">
        <v>2</v>
      </c>
      <c r="L177" s="46">
        <v>3</v>
      </c>
      <c r="M177" s="46">
        <v>0</v>
      </c>
      <c r="N177" s="46">
        <v>0</v>
      </c>
      <c r="O177" s="46">
        <v>0</v>
      </c>
      <c r="P177" s="46">
        <v>0</v>
      </c>
      <c r="Q177" s="46">
        <v>0</v>
      </c>
    </row>
    <row r="178" spans="1:18" s="10" customFormat="1" ht="14" customHeight="1" x14ac:dyDescent="0.2">
      <c r="A178" s="86"/>
      <c r="B178" s="10" t="s">
        <v>137</v>
      </c>
      <c r="H178" s="42">
        <f t="shared" ref="H178:K178" si="115">SUM(H173:H177)</f>
        <v>-3537</v>
      </c>
      <c r="I178" s="42">
        <f t="shared" si="115"/>
        <v>-570</v>
      </c>
      <c r="J178" s="42">
        <f t="shared" si="115"/>
        <v>776</v>
      </c>
      <c r="K178" s="42">
        <f t="shared" si="115"/>
        <v>149</v>
      </c>
      <c r="L178" s="42">
        <f t="shared" ref="L178:Q178" si="116">SUM(L173:L177)</f>
        <v>-1187</v>
      </c>
      <c r="M178" s="42">
        <f t="shared" si="116"/>
        <v>-280</v>
      </c>
      <c r="N178" s="42">
        <f t="shared" si="116"/>
        <v>-280</v>
      </c>
      <c r="O178" s="42">
        <f t="shared" si="116"/>
        <v>-280</v>
      </c>
      <c r="P178" s="42">
        <f t="shared" si="116"/>
        <v>-280</v>
      </c>
      <c r="Q178" s="42">
        <f t="shared" si="116"/>
        <v>-280</v>
      </c>
    </row>
    <row r="179" spans="1:18" ht="14" customHeight="1" x14ac:dyDescent="0.2">
      <c r="F179" s="4"/>
      <c r="G179" s="4"/>
    </row>
    <row r="180" spans="1:18" s="10" customFormat="1" ht="14" customHeight="1" x14ac:dyDescent="0.2">
      <c r="A180" s="86"/>
      <c r="B180" s="10" t="s">
        <v>72</v>
      </c>
      <c r="R180" s="4"/>
    </row>
    <row r="181" spans="1:18" ht="14" customHeight="1" x14ac:dyDescent="0.2">
      <c r="A181" s="87"/>
      <c r="C181" s="4" t="s">
        <v>138</v>
      </c>
      <c r="F181" s="4"/>
      <c r="G181" s="4"/>
      <c r="H181" s="45">
        <v>-3950</v>
      </c>
      <c r="I181" s="45">
        <v>-6550</v>
      </c>
      <c r="J181" s="45">
        <v>-4400</v>
      </c>
      <c r="K181" s="45">
        <v>-9500</v>
      </c>
      <c r="L181" s="45">
        <v>-11281</v>
      </c>
      <c r="M181" s="43">
        <f>Assumptions!$M$27</f>
        <v>-8000</v>
      </c>
      <c r="N181" s="43">
        <f>Assumptions!$M$27</f>
        <v>-8000</v>
      </c>
      <c r="O181" s="43">
        <f>Assumptions!$M$27</f>
        <v>-8000</v>
      </c>
      <c r="P181" s="43">
        <f>Assumptions!$M$27</f>
        <v>-8000</v>
      </c>
      <c r="Q181" s="43">
        <f>Assumptions!$M$27</f>
        <v>-8000</v>
      </c>
    </row>
    <row r="182" spans="1:18" ht="14" customHeight="1" x14ac:dyDescent="0.2">
      <c r="A182" s="87"/>
      <c r="C182" s="4" t="s">
        <v>142</v>
      </c>
      <c r="F182" s="4"/>
      <c r="G182" s="4"/>
      <c r="H182" s="45">
        <f>291-719</f>
        <v>-428</v>
      </c>
      <c r="I182" s="45">
        <f>278-518</f>
        <v>-240</v>
      </c>
      <c r="J182" s="45">
        <f>314-589</f>
        <v>-275</v>
      </c>
      <c r="K182" s="45">
        <f>361-677</f>
        <v>-316</v>
      </c>
      <c r="L182" s="45">
        <f>348-475</f>
        <v>-127</v>
      </c>
      <c r="M182" s="43">
        <f>Assumptions!$M$25</f>
        <v>-200</v>
      </c>
      <c r="N182" s="43">
        <f>Assumptions!$M$25</f>
        <v>-200</v>
      </c>
      <c r="O182" s="43">
        <f>Assumptions!$M$25</f>
        <v>-200</v>
      </c>
      <c r="P182" s="43">
        <f>Assumptions!$M$25</f>
        <v>-200</v>
      </c>
      <c r="Q182" s="43">
        <f>Assumptions!$M$25</f>
        <v>-200</v>
      </c>
    </row>
    <row r="183" spans="1:18" ht="14" customHeight="1" x14ac:dyDescent="0.2">
      <c r="A183" s="87"/>
      <c r="C183" s="4" t="s">
        <v>140</v>
      </c>
      <c r="F183" s="4"/>
      <c r="G183" s="4"/>
      <c r="H183" s="45">
        <v>0</v>
      </c>
      <c r="I183" s="45">
        <v>0</v>
      </c>
      <c r="J183" s="45">
        <v>0</v>
      </c>
      <c r="K183" s="45">
        <v>1997</v>
      </c>
      <c r="L183" s="45">
        <v>1997</v>
      </c>
      <c r="M183" s="43">
        <f>M288</f>
        <v>0</v>
      </c>
      <c r="N183" s="43">
        <f t="shared" ref="N183:Q183" si="117">N288</f>
        <v>0</v>
      </c>
      <c r="O183" s="43">
        <f t="shared" si="117"/>
        <v>0</v>
      </c>
      <c r="P183" s="43">
        <f t="shared" si="117"/>
        <v>0</v>
      </c>
      <c r="Q183" s="43">
        <f t="shared" si="117"/>
        <v>0</v>
      </c>
    </row>
    <row r="184" spans="1:18" ht="14" customHeight="1" x14ac:dyDescent="0.2">
      <c r="A184" s="87"/>
      <c r="C184" s="4" t="s">
        <v>139</v>
      </c>
      <c r="F184" s="4"/>
      <c r="G184" s="4"/>
      <c r="H184" s="45">
        <v>0</v>
      </c>
      <c r="I184" s="45">
        <v>0</v>
      </c>
      <c r="J184" s="45">
        <v>-500</v>
      </c>
      <c r="K184" s="45">
        <v>0</v>
      </c>
      <c r="L184" s="45">
        <v>-1500</v>
      </c>
      <c r="M184" s="43">
        <f>M289</f>
        <v>-1350</v>
      </c>
      <c r="N184" s="43">
        <f t="shared" ref="N184:Q184" si="118">N289</f>
        <v>-800</v>
      </c>
      <c r="O184" s="43">
        <f t="shared" si="118"/>
        <v>-750</v>
      </c>
      <c r="P184" s="43">
        <f t="shared" si="118"/>
        <v>-2000</v>
      </c>
      <c r="Q184" s="43">
        <f t="shared" si="118"/>
        <v>0</v>
      </c>
    </row>
    <row r="185" spans="1:18" ht="14" customHeight="1" x14ac:dyDescent="0.2">
      <c r="C185" s="4" t="s">
        <v>143</v>
      </c>
      <c r="F185" s="4"/>
      <c r="G185" s="4"/>
      <c r="H185" s="46">
        <v>77</v>
      </c>
      <c r="I185" s="46">
        <v>-35</v>
      </c>
      <c r="J185" s="46">
        <v>-7</v>
      </c>
      <c r="K185" s="46">
        <v>95</v>
      </c>
      <c r="L185" s="46">
        <v>-149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</row>
    <row r="186" spans="1:18" s="10" customFormat="1" ht="14" customHeight="1" x14ac:dyDescent="0.2">
      <c r="A186" s="86"/>
      <c r="B186" s="10" t="s">
        <v>144</v>
      </c>
      <c r="H186" s="42">
        <f>SUM(H181:H185)</f>
        <v>-4301</v>
      </c>
      <c r="I186" s="42">
        <f t="shared" ref="I186:N186" si="119">SUM(I181:I185)</f>
        <v>-6825</v>
      </c>
      <c r="J186" s="42">
        <f t="shared" si="119"/>
        <v>-5182</v>
      </c>
      <c r="K186" s="42">
        <f t="shared" si="119"/>
        <v>-7724</v>
      </c>
      <c r="L186" s="42">
        <f t="shared" si="119"/>
        <v>-11060</v>
      </c>
      <c r="M186" s="42">
        <f t="shared" si="119"/>
        <v>-9550</v>
      </c>
      <c r="N186" s="42">
        <f t="shared" si="119"/>
        <v>-9000</v>
      </c>
      <c r="O186" s="42">
        <f t="shared" ref="O186" si="120">SUM(O181:O185)</f>
        <v>-8950</v>
      </c>
      <c r="P186" s="42">
        <f t="shared" ref="P186" si="121">SUM(P181:P185)</f>
        <v>-10200</v>
      </c>
      <c r="Q186" s="42">
        <f t="shared" ref="Q186" si="122">SUM(Q181:Q185)</f>
        <v>-8200</v>
      </c>
      <c r="R186" s="4"/>
    </row>
    <row r="187" spans="1:18" ht="14" customHeight="1" x14ac:dyDescent="0.2">
      <c r="F187" s="4"/>
      <c r="G187" s="4"/>
    </row>
    <row r="188" spans="1:18" ht="14" customHeight="1" x14ac:dyDescent="0.2">
      <c r="B188" s="4" t="s">
        <v>80</v>
      </c>
      <c r="F188" s="4"/>
      <c r="G188" s="45"/>
      <c r="H188" s="45">
        <v>-26</v>
      </c>
      <c r="I188" s="45">
        <v>-51</v>
      </c>
      <c r="J188" s="45">
        <v>9</v>
      </c>
      <c r="K188" s="45">
        <v>-9</v>
      </c>
      <c r="L188" s="45">
        <v>34</v>
      </c>
      <c r="M188" s="45">
        <v>0</v>
      </c>
      <c r="N188" s="45">
        <v>0</v>
      </c>
      <c r="O188" s="45">
        <v>0</v>
      </c>
      <c r="P188" s="45">
        <v>0</v>
      </c>
      <c r="Q188" s="45">
        <v>0</v>
      </c>
    </row>
    <row r="189" spans="1:18" ht="14" customHeight="1" x14ac:dyDescent="0.2">
      <c r="F189" s="4"/>
      <c r="G189" s="4"/>
    </row>
    <row r="190" spans="1:18" x14ac:dyDescent="0.2">
      <c r="B190" s="31" t="s">
        <v>73</v>
      </c>
      <c r="C190" s="32"/>
      <c r="D190" s="32"/>
      <c r="E190" s="32"/>
      <c r="F190" s="52"/>
      <c r="G190" s="53"/>
      <c r="H190" s="32"/>
      <c r="I190" s="54">
        <f>H192</f>
        <v>3844</v>
      </c>
      <c r="J190" s="54">
        <f>I192</f>
        <v>4236</v>
      </c>
      <c r="K190" s="54">
        <f t="shared" ref="K190:Q190" si="123">J192</f>
        <v>7141</v>
      </c>
      <c r="L190" s="54">
        <f t="shared" si="123"/>
        <v>7613</v>
      </c>
      <c r="M190" s="54">
        <f t="shared" si="123"/>
        <v>5431</v>
      </c>
      <c r="N190" s="54">
        <f t="shared" si="123"/>
        <v>5176.7471808861301</v>
      </c>
      <c r="O190" s="54">
        <f t="shared" si="123"/>
        <v>6738.8128452226483</v>
      </c>
      <c r="P190" s="54">
        <f t="shared" si="123"/>
        <v>9217.9524385869408</v>
      </c>
      <c r="Q190" s="68">
        <f t="shared" si="123"/>
        <v>11276.883774779049</v>
      </c>
    </row>
    <row r="191" spans="1:18" x14ac:dyDescent="0.2">
      <c r="B191" s="55" t="s">
        <v>145</v>
      </c>
      <c r="H191" s="43">
        <f>H188+H186+H178+H170</f>
        <v>-634</v>
      </c>
      <c r="I191" s="43">
        <f t="shared" ref="I191" si="124">I188+I186+I178+I170</f>
        <v>392</v>
      </c>
      <c r="J191" s="43">
        <f>J188+J186+J178+J170</f>
        <v>2905</v>
      </c>
      <c r="K191" s="43">
        <f t="shared" ref="K191" si="125">K188+K186+K178+K170</f>
        <v>472</v>
      </c>
      <c r="L191" s="43">
        <f>L188+L186+L178+L170</f>
        <v>-2182</v>
      </c>
      <c r="M191" s="43">
        <f>M188+M186+M178+M170</f>
        <v>-254.25281911386992</v>
      </c>
      <c r="N191" s="43">
        <f>N188+N186+N178+N170</f>
        <v>1562.0656643365182</v>
      </c>
      <c r="O191" s="43">
        <f t="shared" ref="O191:Q191" si="126">O188+O186+O178+O170</f>
        <v>2479.1395933642925</v>
      </c>
      <c r="P191" s="43">
        <f t="shared" si="126"/>
        <v>2058.9313361921086</v>
      </c>
      <c r="Q191" s="69">
        <f t="shared" si="126"/>
        <v>5078.3969022263736</v>
      </c>
    </row>
    <row r="192" spans="1:18" x14ac:dyDescent="0.2">
      <c r="A192" s="87"/>
      <c r="B192" s="56" t="s">
        <v>74</v>
      </c>
      <c r="C192" s="15"/>
      <c r="D192" s="15"/>
      <c r="E192" s="15"/>
      <c r="F192" s="57"/>
      <c r="G192" s="58"/>
      <c r="H192" s="44">
        <f>H111</f>
        <v>3844</v>
      </c>
      <c r="I192" s="44">
        <f>I191+I190</f>
        <v>4236</v>
      </c>
      <c r="J192" s="44">
        <f>J191+J190</f>
        <v>7141</v>
      </c>
      <c r="K192" s="44">
        <f t="shared" ref="K192" si="127">K191+K190</f>
        <v>7613</v>
      </c>
      <c r="L192" s="44">
        <f>L191+L190</f>
        <v>5431</v>
      </c>
      <c r="M192" s="44">
        <f>M191+M190</f>
        <v>5176.7471808861301</v>
      </c>
      <c r="N192" s="44">
        <f>N191+N190</f>
        <v>6738.8128452226483</v>
      </c>
      <c r="O192" s="44">
        <f t="shared" ref="O192:Q192" si="128">O191+O190</f>
        <v>9217.9524385869408</v>
      </c>
      <c r="P192" s="44">
        <f t="shared" si="128"/>
        <v>11276.883774779049</v>
      </c>
      <c r="Q192" s="70">
        <f t="shared" si="128"/>
        <v>16355.280677005423</v>
      </c>
    </row>
    <row r="193" spans="1:17" ht="14" customHeight="1" x14ac:dyDescent="0.2">
      <c r="F193" s="4"/>
      <c r="G193" s="4"/>
    </row>
    <row r="194" spans="1:17" ht="14" customHeight="1" x14ac:dyDescent="0.2">
      <c r="B194" s="4" t="s">
        <v>156</v>
      </c>
      <c r="F194" s="4"/>
      <c r="G194" s="4"/>
    </row>
    <row r="195" spans="1:17" ht="14" customHeight="1" x14ac:dyDescent="0.2">
      <c r="B195" s="4" t="s">
        <v>147</v>
      </c>
      <c r="F195" s="4"/>
      <c r="G195" s="4"/>
    </row>
    <row r="196" spans="1:17" ht="14" customHeight="1" x14ac:dyDescent="0.2">
      <c r="B196" s="4" t="s">
        <v>148</v>
      </c>
      <c r="F196" s="4"/>
      <c r="G196" s="4"/>
    </row>
    <row r="197" spans="1:17" ht="14" customHeight="1" x14ac:dyDescent="0.2">
      <c r="B197" s="4" t="s">
        <v>183</v>
      </c>
      <c r="F197" s="4"/>
      <c r="G197" s="4"/>
    </row>
    <row r="198" spans="1:17" ht="14" customHeight="1" x14ac:dyDescent="0.2">
      <c r="F198" s="4"/>
      <c r="G198" s="4"/>
    </row>
    <row r="199" spans="1:17" ht="14" customHeight="1" x14ac:dyDescent="0.2">
      <c r="F199" s="4"/>
      <c r="G199" s="4"/>
    </row>
    <row r="200" spans="1:17" ht="14" customHeight="1" x14ac:dyDescent="0.2">
      <c r="F200" s="4"/>
      <c r="G200" s="4"/>
      <c r="Q200" s="124" t="str">
        <f>$Q$1</f>
        <v>CURRENTLY RUNNING: BASE CASE SCENARIO</v>
      </c>
    </row>
    <row r="201" spans="1:17" ht="25" x14ac:dyDescent="0.3">
      <c r="B201" s="27" t="str">
        <f>$B$2</f>
        <v>Adobe Inc.</v>
      </c>
      <c r="C201" s="25"/>
      <c r="D201" s="25"/>
      <c r="E201" s="25"/>
      <c r="F201" s="25"/>
      <c r="G201" s="25"/>
      <c r="H201" s="25"/>
      <c r="I201" s="25"/>
      <c r="J201" s="26"/>
      <c r="K201" s="25"/>
      <c r="L201" s="25"/>
      <c r="M201" s="25"/>
      <c r="N201" s="25"/>
      <c r="O201" s="25"/>
      <c r="P201" s="25"/>
      <c r="Q201" s="25"/>
    </row>
    <row r="202" spans="1:17" ht="19" thickBot="1" x14ac:dyDescent="0.3">
      <c r="A202" s="88"/>
      <c r="B202" s="29" t="s">
        <v>37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</row>
    <row r="203" spans="1:17" ht="8" customHeight="1" x14ac:dyDescent="0.25">
      <c r="B203" s="3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spans="1:17" x14ac:dyDescent="0.2">
      <c r="M204" s="61" t="s">
        <v>7</v>
      </c>
      <c r="N204" s="6"/>
      <c r="O204" s="6"/>
      <c r="P204" s="6"/>
      <c r="Q204" s="6"/>
    </row>
    <row r="205" spans="1:17" ht="8" customHeight="1" x14ac:dyDescent="0.2"/>
    <row r="206" spans="1:17" x14ac:dyDescent="0.2">
      <c r="H206" s="7">
        <f>I206-1</f>
        <v>2021</v>
      </c>
      <c r="I206" s="7">
        <f>J206-1</f>
        <v>2022</v>
      </c>
      <c r="J206" s="7">
        <f>K206-1</f>
        <v>2023</v>
      </c>
      <c r="K206" s="7">
        <f>L206-1</f>
        <v>2024</v>
      </c>
      <c r="L206" s="7">
        <f>M206-1</f>
        <v>2025</v>
      </c>
      <c r="M206" s="8">
        <f>$M$7</f>
        <v>2026</v>
      </c>
      <c r="N206" s="9">
        <f>M206+1</f>
        <v>2027</v>
      </c>
      <c r="O206" s="9">
        <f>N206+1</f>
        <v>2028</v>
      </c>
      <c r="P206" s="9">
        <f>O206+1</f>
        <v>2029</v>
      </c>
      <c r="Q206" s="9">
        <f>P206+1</f>
        <v>2030</v>
      </c>
    </row>
    <row r="207" spans="1:17" ht="8" customHeight="1" x14ac:dyDescent="0.2"/>
    <row r="208" spans="1:17" ht="14" customHeight="1" x14ac:dyDescent="0.2">
      <c r="B208" s="48" t="s">
        <v>38</v>
      </c>
      <c r="C208" s="49"/>
      <c r="D208" s="49"/>
      <c r="E208" s="49"/>
      <c r="F208" s="49" t="s">
        <v>39</v>
      </c>
      <c r="G208" s="49"/>
      <c r="H208" s="81">
        <f>DATE(H206,12,31)-DATE(H206-1,12,31)</f>
        <v>365</v>
      </c>
      <c r="I208" s="81">
        <f t="shared" ref="I208:Q208" si="129">DATE(I206,12,31)-DATE(I206-1,12,31)</f>
        <v>365</v>
      </c>
      <c r="J208" s="81">
        <f t="shared" si="129"/>
        <v>365</v>
      </c>
      <c r="K208" s="81">
        <f t="shared" si="129"/>
        <v>366</v>
      </c>
      <c r="L208" s="81">
        <f t="shared" si="129"/>
        <v>365</v>
      </c>
      <c r="M208" s="81">
        <f t="shared" si="129"/>
        <v>365</v>
      </c>
      <c r="N208" s="81">
        <f t="shared" si="129"/>
        <v>365</v>
      </c>
      <c r="O208" s="81">
        <f t="shared" si="129"/>
        <v>366</v>
      </c>
      <c r="P208" s="81">
        <f t="shared" si="129"/>
        <v>365</v>
      </c>
      <c r="Q208" s="82">
        <f t="shared" si="129"/>
        <v>365</v>
      </c>
    </row>
    <row r="209" spans="1:17" ht="14" customHeight="1" x14ac:dyDescent="0.2">
      <c r="F209" s="4"/>
      <c r="G209" s="4"/>
    </row>
    <row r="210" spans="1:17" s="10" customFormat="1" ht="14" customHeight="1" x14ac:dyDescent="0.2">
      <c r="A210" s="86"/>
      <c r="B210" s="10" t="s">
        <v>11</v>
      </c>
      <c r="F210" s="10" t="s">
        <v>6</v>
      </c>
      <c r="H210" s="42">
        <f t="shared" ref="H210:Q210" si="130">H79</f>
        <v>15785</v>
      </c>
      <c r="I210" s="42">
        <f t="shared" si="130"/>
        <v>17606</v>
      </c>
      <c r="J210" s="42">
        <f t="shared" si="130"/>
        <v>19409</v>
      </c>
      <c r="K210" s="42">
        <f t="shared" si="130"/>
        <v>21505</v>
      </c>
      <c r="L210" s="42">
        <f t="shared" si="130"/>
        <v>23769</v>
      </c>
      <c r="M210" s="42">
        <f t="shared" si="130"/>
        <v>26294.531250000004</v>
      </c>
      <c r="N210" s="42">
        <f t="shared" si="130"/>
        <v>28946.096770833341</v>
      </c>
      <c r="O210" s="42">
        <f t="shared" si="130"/>
        <v>31723.046221875007</v>
      </c>
      <c r="P210" s="42">
        <f t="shared" si="130"/>
        <v>34633.937212853132</v>
      </c>
      <c r="Q210" s="42">
        <f t="shared" si="130"/>
        <v>37789.849051205412</v>
      </c>
    </row>
    <row r="211" spans="1:17" s="10" customFormat="1" ht="14" customHeight="1" x14ac:dyDescent="0.2">
      <c r="A211" s="86"/>
      <c r="B211" s="10" t="s">
        <v>28</v>
      </c>
      <c r="H211" s="42">
        <f t="shared" ref="H211:Q211" si="131">H80</f>
        <v>1865</v>
      </c>
      <c r="I211" s="42">
        <f t="shared" si="131"/>
        <v>2165</v>
      </c>
      <c r="J211" s="42">
        <f t="shared" si="131"/>
        <v>2354</v>
      </c>
      <c r="K211" s="42">
        <f t="shared" si="131"/>
        <v>2358</v>
      </c>
      <c r="L211" s="42">
        <f t="shared" si="131"/>
        <v>2551</v>
      </c>
      <c r="M211" s="42">
        <f t="shared" si="131"/>
        <v>3002.8354687500005</v>
      </c>
      <c r="N211" s="42">
        <f t="shared" si="131"/>
        <v>3305.6442512291674</v>
      </c>
      <c r="O211" s="42">
        <f t="shared" si="131"/>
        <v>3622.7718785381257</v>
      </c>
      <c r="P211" s="42">
        <f t="shared" si="131"/>
        <v>3955.1956297078277</v>
      </c>
      <c r="Q211" s="42">
        <f t="shared" si="131"/>
        <v>4315.6007616476581</v>
      </c>
    </row>
    <row r="212" spans="1:17" s="10" customFormat="1" ht="14" customHeight="1" x14ac:dyDescent="0.2">
      <c r="A212" s="86"/>
      <c r="B212" s="10" t="s">
        <v>25</v>
      </c>
      <c r="F212" s="10" t="s">
        <v>6</v>
      </c>
      <c r="H212" s="42">
        <f t="shared" ref="H212:Q212" si="132">H66</f>
        <v>8118</v>
      </c>
      <c r="I212" s="42">
        <f t="shared" si="132"/>
        <v>9343</v>
      </c>
      <c r="J212" s="42">
        <f t="shared" si="132"/>
        <v>10405</v>
      </c>
      <c r="K212" s="42">
        <f t="shared" si="132"/>
        <v>12406</v>
      </c>
      <c r="L212" s="42">
        <f t="shared" si="132"/>
        <v>12512</v>
      </c>
      <c r="M212" s="42">
        <f t="shared" si="132"/>
        <v>14215.613020833338</v>
      </c>
      <c r="N212" s="42">
        <f t="shared" si="132"/>
        <v>15602.882342291672</v>
      </c>
      <c r="O212" s="42">
        <f t="shared" si="132"/>
        <v>17053.106682481255</v>
      </c>
      <c r="P212" s="42">
        <f t="shared" si="132"/>
        <v>18616.855804996907</v>
      </c>
      <c r="Q212" s="42">
        <f t="shared" si="132"/>
        <v>20311.446060010359</v>
      </c>
    </row>
    <row r="213" spans="1:17" ht="14" customHeight="1" x14ac:dyDescent="0.2">
      <c r="F213" s="4"/>
      <c r="G213" s="4"/>
    </row>
    <row r="214" spans="1:17" ht="14" customHeight="1" x14ac:dyDescent="0.2">
      <c r="B214" s="10" t="s">
        <v>81</v>
      </c>
      <c r="F214" s="10" t="s">
        <v>39</v>
      </c>
      <c r="G214" s="4"/>
    </row>
    <row r="215" spans="1:17" ht="14" customHeight="1" x14ac:dyDescent="0.2">
      <c r="C215" s="4" t="s">
        <v>41</v>
      </c>
      <c r="F215" s="4"/>
      <c r="G215" s="4"/>
      <c r="H215" s="43">
        <f>H224/H210*H208</f>
        <v>43.425403864428255</v>
      </c>
      <c r="I215" s="43">
        <f t="shared" ref="I215:K215" si="133">I224/I210*I208</f>
        <v>42.810689537657616</v>
      </c>
      <c r="J215" s="43">
        <f t="shared" si="133"/>
        <v>41.823896130661034</v>
      </c>
      <c r="K215" s="43">
        <f t="shared" si="133"/>
        <v>35.263985119739594</v>
      </c>
      <c r="L215" s="43">
        <f>L224/L210*L208</f>
        <v>35.994783120871723</v>
      </c>
      <c r="M215" s="43">
        <f>Assumptions!$M$10</f>
        <v>43</v>
      </c>
      <c r="N215" s="43">
        <f>Assumptions!$M$10</f>
        <v>43</v>
      </c>
      <c r="O215" s="43">
        <f>Assumptions!$M$10</f>
        <v>43</v>
      </c>
      <c r="P215" s="43">
        <f>Assumptions!$M$10</f>
        <v>43</v>
      </c>
      <c r="Q215" s="43">
        <f>Assumptions!$M$10</f>
        <v>43</v>
      </c>
    </row>
    <row r="216" spans="1:17" ht="14" customHeight="1" x14ac:dyDescent="0.2">
      <c r="C216" s="4" t="s">
        <v>42</v>
      </c>
      <c r="F216" s="4"/>
      <c r="G216" s="4"/>
      <c r="H216" s="43">
        <f>H229/H211*H208</f>
        <v>61.061662198391424</v>
      </c>
      <c r="I216" s="43">
        <f t="shared" ref="I216:K216" si="134">I229/I211*I208</f>
        <v>63.896073903002311</v>
      </c>
      <c r="J216" s="43">
        <f t="shared" si="134"/>
        <v>48.687340696686491</v>
      </c>
      <c r="K216" s="43">
        <f t="shared" si="134"/>
        <v>56.033078880407125</v>
      </c>
      <c r="L216" s="43">
        <f>L229/L211*L208</f>
        <v>59.664837318698552</v>
      </c>
      <c r="M216" s="43">
        <f>Assumptions!$M$11</f>
        <v>60</v>
      </c>
      <c r="N216" s="43">
        <f>Assumptions!$M$11</f>
        <v>60</v>
      </c>
      <c r="O216" s="43">
        <f>Assumptions!$M$11</f>
        <v>60</v>
      </c>
      <c r="P216" s="43">
        <f>Assumptions!$M$11</f>
        <v>60</v>
      </c>
      <c r="Q216" s="43">
        <f>Assumptions!$M$11</f>
        <v>60</v>
      </c>
    </row>
    <row r="217" spans="1:17" ht="14" customHeight="1" x14ac:dyDescent="0.2">
      <c r="F217" s="4"/>
      <c r="G217" s="4"/>
    </row>
    <row r="218" spans="1:17" ht="14" customHeight="1" x14ac:dyDescent="0.2">
      <c r="B218" s="10" t="s">
        <v>43</v>
      </c>
      <c r="F218" s="4"/>
      <c r="G218" s="4"/>
    </row>
    <row r="219" spans="1:17" ht="14" customHeight="1" x14ac:dyDescent="0.2">
      <c r="C219" s="4" t="s">
        <v>179</v>
      </c>
      <c r="F219" s="4"/>
      <c r="G219" s="4"/>
      <c r="H219" s="14">
        <f>H225/H212</f>
        <v>0.12232076866223207</v>
      </c>
      <c r="I219" s="14">
        <f t="shared" ref="I219:L219" si="135">I225/I212</f>
        <v>8.9371722144921326E-2</v>
      </c>
      <c r="J219" s="14">
        <f t="shared" si="135"/>
        <v>9.7837578087457952E-2</v>
      </c>
      <c r="K219" s="14">
        <f t="shared" si="135"/>
        <v>0.10269224568757053</v>
      </c>
      <c r="L219" s="14">
        <f t="shared" si="135"/>
        <v>9.7826086956521743E-2</v>
      </c>
      <c r="M219" s="14">
        <f>Assumptions!$M$12</f>
        <v>0.1</v>
      </c>
      <c r="N219" s="14">
        <f>Assumptions!$M$12</f>
        <v>0.1</v>
      </c>
      <c r="O219" s="14">
        <f>Assumptions!$M$12</f>
        <v>0.1</v>
      </c>
      <c r="P219" s="14">
        <f>Assumptions!$M$12</f>
        <v>0.1</v>
      </c>
      <c r="Q219" s="14">
        <f>Assumptions!$M$12</f>
        <v>0.1</v>
      </c>
    </row>
    <row r="220" spans="1:17" ht="14" customHeight="1" x14ac:dyDescent="0.2">
      <c r="C220" s="4" t="s">
        <v>132</v>
      </c>
      <c r="F220" s="4"/>
      <c r="G220" s="4"/>
      <c r="H220" s="14">
        <f>H230/H210</f>
        <v>0.30902755780804564</v>
      </c>
      <c r="I220" s="14">
        <f t="shared" ref="I220:L220" si="136">I230/I210</f>
        <v>0.30750880381688062</v>
      </c>
      <c r="J220" s="14">
        <f t="shared" si="136"/>
        <v>0.3065588129218404</v>
      </c>
      <c r="K220" s="14">
        <f t="shared" si="136"/>
        <v>0.29104859335038363</v>
      </c>
      <c r="L220" s="14">
        <f t="shared" si="136"/>
        <v>0.29576338928856916</v>
      </c>
      <c r="M220" s="14">
        <f>Assumptions!$M$13</f>
        <v>0.29799999999999999</v>
      </c>
      <c r="N220" s="14">
        <f>Assumptions!$M$13</f>
        <v>0.29799999999999999</v>
      </c>
      <c r="O220" s="14">
        <f>Assumptions!$M$13</f>
        <v>0.29799999999999999</v>
      </c>
      <c r="P220" s="14">
        <f>Assumptions!$M$13</f>
        <v>0.29799999999999999</v>
      </c>
      <c r="Q220" s="14">
        <f>Assumptions!$M$13</f>
        <v>0.29799999999999999</v>
      </c>
    </row>
    <row r="221" spans="1:17" ht="14" customHeight="1" x14ac:dyDescent="0.2">
      <c r="C221" s="4" t="s">
        <v>180</v>
      </c>
      <c r="F221" s="4"/>
      <c r="G221" s="4"/>
      <c r="H221" s="14">
        <f>H231/H212</f>
        <v>0.21384577482138459</v>
      </c>
      <c r="I221" s="14">
        <f t="shared" ref="I221:L221" si="137">I231/I212</f>
        <v>0.19158728459809482</v>
      </c>
      <c r="J221" s="14">
        <f t="shared" si="137"/>
        <v>0.18664103796251802</v>
      </c>
      <c r="K221" s="14">
        <f t="shared" si="137"/>
        <v>0.18829598581331614</v>
      </c>
      <c r="L221" s="14">
        <f t="shared" si="137"/>
        <v>0.21163682864450128</v>
      </c>
      <c r="M221" s="14">
        <f>Assumptions!$M$14</f>
        <v>0.19800000000000001</v>
      </c>
      <c r="N221" s="14">
        <f>Assumptions!$M$14</f>
        <v>0.19800000000000001</v>
      </c>
      <c r="O221" s="14">
        <f>Assumptions!$M$14</f>
        <v>0.19800000000000001</v>
      </c>
      <c r="P221" s="14">
        <f>Assumptions!$M$14</f>
        <v>0.19800000000000001</v>
      </c>
      <c r="Q221" s="14">
        <f>Assumptions!$M$14</f>
        <v>0.19800000000000001</v>
      </c>
    </row>
    <row r="222" spans="1:17" ht="14" customHeight="1" x14ac:dyDescent="0.2">
      <c r="F222" s="4"/>
      <c r="G222" s="4"/>
      <c r="N222" s="14"/>
    </row>
    <row r="223" spans="1:17" ht="14" customHeight="1" x14ac:dyDescent="0.2">
      <c r="B223" s="10" t="s">
        <v>44</v>
      </c>
      <c r="F223" s="10" t="s">
        <v>6</v>
      </c>
      <c r="G223" s="4"/>
    </row>
    <row r="224" spans="1:17" ht="14" customHeight="1" x14ac:dyDescent="0.2">
      <c r="A224" s="87"/>
      <c r="C224" s="4" t="s">
        <v>41</v>
      </c>
      <c r="F224" s="4"/>
      <c r="G224" s="4"/>
      <c r="H224" s="43">
        <f>H113</f>
        <v>1878</v>
      </c>
      <c r="I224" s="43">
        <f t="shared" ref="I224:K224" si="138">I113</f>
        <v>2065</v>
      </c>
      <c r="J224" s="43">
        <f t="shared" si="138"/>
        <v>2224</v>
      </c>
      <c r="K224" s="43">
        <f t="shared" si="138"/>
        <v>2072</v>
      </c>
      <c r="L224" s="43">
        <f>L113</f>
        <v>2344</v>
      </c>
      <c r="M224" s="43">
        <f>M215/M208*M210</f>
        <v>3097.7119006849321</v>
      </c>
      <c r="N224" s="43">
        <f t="shared" ref="N224:Q224" si="139">N215/N208*N210</f>
        <v>3410.0881127283114</v>
      </c>
      <c r="O224" s="43">
        <f t="shared" si="139"/>
        <v>3727.0245561219272</v>
      </c>
      <c r="P224" s="43">
        <f t="shared" si="139"/>
        <v>4080.1624661717387</v>
      </c>
      <c r="Q224" s="43">
        <f t="shared" si="139"/>
        <v>4451.9548197310487</v>
      </c>
    </row>
    <row r="225" spans="1:18" ht="14" customHeight="1" x14ac:dyDescent="0.2">
      <c r="A225" s="87"/>
      <c r="C225" s="4" t="s">
        <v>52</v>
      </c>
      <c r="F225" s="4"/>
      <c r="G225" s="4"/>
      <c r="H225" s="44">
        <f>H114</f>
        <v>993</v>
      </c>
      <c r="I225" s="44">
        <f t="shared" ref="I225:L225" si="140">I114</f>
        <v>835</v>
      </c>
      <c r="J225" s="44">
        <f t="shared" si="140"/>
        <v>1018</v>
      </c>
      <c r="K225" s="44">
        <f t="shared" si="140"/>
        <v>1274</v>
      </c>
      <c r="L225" s="44">
        <f t="shared" si="140"/>
        <v>1224</v>
      </c>
      <c r="M225" s="44">
        <f>M219*M212</f>
        <v>1421.5613020833339</v>
      </c>
      <c r="N225" s="44">
        <f t="shared" ref="N225:Q225" si="141">N219*N212</f>
        <v>1560.2882342291673</v>
      </c>
      <c r="O225" s="44">
        <f t="shared" si="141"/>
        <v>1705.3106682481257</v>
      </c>
      <c r="P225" s="44">
        <f t="shared" si="141"/>
        <v>1861.6855804996908</v>
      </c>
      <c r="Q225" s="44">
        <f t="shared" si="141"/>
        <v>2031.144606001036</v>
      </c>
    </row>
    <row r="226" spans="1:18" s="10" customFormat="1" ht="14" customHeight="1" x14ac:dyDescent="0.2">
      <c r="A226" s="86"/>
      <c r="C226" s="10" t="s">
        <v>65</v>
      </c>
      <c r="H226" s="42">
        <f t="shared" ref="H226:N226" si="142">SUM(H224:H225)</f>
        <v>2871</v>
      </c>
      <c r="I226" s="42">
        <f t="shared" si="142"/>
        <v>2900</v>
      </c>
      <c r="J226" s="42">
        <f t="shared" si="142"/>
        <v>3242</v>
      </c>
      <c r="K226" s="42">
        <f t="shared" si="142"/>
        <v>3346</v>
      </c>
      <c r="L226" s="42">
        <f t="shared" si="142"/>
        <v>3568</v>
      </c>
      <c r="M226" s="42">
        <f t="shared" si="142"/>
        <v>4519.2732027682659</v>
      </c>
      <c r="N226" s="42">
        <f t="shared" si="142"/>
        <v>4970.3763469574787</v>
      </c>
      <c r="O226" s="42">
        <f t="shared" ref="O226:Q226" si="143">SUM(O224:O225)</f>
        <v>5432.3352243700529</v>
      </c>
      <c r="P226" s="42">
        <f t="shared" si="143"/>
        <v>5941.84804667143</v>
      </c>
      <c r="Q226" s="42">
        <f t="shared" si="143"/>
        <v>6483.0994257320845</v>
      </c>
    </row>
    <row r="227" spans="1:18" s="10" customFormat="1" ht="14" customHeight="1" x14ac:dyDescent="0.2">
      <c r="A227" s="86"/>
      <c r="C227" s="10" t="s">
        <v>82</v>
      </c>
      <c r="F227" s="10" t="s">
        <v>6</v>
      </c>
      <c r="I227" s="42">
        <f>-(I226-H226)</f>
        <v>-29</v>
      </c>
      <c r="J227" s="42">
        <f t="shared" ref="J227" si="144">-(J226-I226)</f>
        <v>-342</v>
      </c>
      <c r="K227" s="42">
        <f>-(K226-J226)</f>
        <v>-104</v>
      </c>
      <c r="L227" s="42">
        <f>-(L226-K226)</f>
        <v>-222</v>
      </c>
      <c r="M227" s="42">
        <f>-(M226-L226)</f>
        <v>-951.27320276826595</v>
      </c>
      <c r="N227" s="42">
        <f>-(N226-M226)</f>
        <v>-451.1031441892128</v>
      </c>
      <c r="O227" s="42">
        <f t="shared" ref="O227:Q227" si="145">-(O226-N226)</f>
        <v>-461.95887741257411</v>
      </c>
      <c r="P227" s="42">
        <f t="shared" si="145"/>
        <v>-509.51282230137713</v>
      </c>
      <c r="Q227" s="42">
        <f t="shared" si="145"/>
        <v>-541.25137906065447</v>
      </c>
      <c r="R227" s="42"/>
    </row>
    <row r="228" spans="1:18" ht="14" customHeight="1" x14ac:dyDescent="0.2">
      <c r="F228" s="4"/>
      <c r="G228" s="4"/>
    </row>
    <row r="229" spans="1:18" ht="14" customHeight="1" x14ac:dyDescent="0.2">
      <c r="A229" s="87"/>
      <c r="C229" s="4" t="s">
        <v>116</v>
      </c>
      <c r="F229" s="4"/>
      <c r="G229" s="4"/>
      <c r="H229" s="43">
        <f>H125</f>
        <v>312</v>
      </c>
      <c r="I229" s="43">
        <f t="shared" ref="I229:L229" si="146">I125</f>
        <v>379</v>
      </c>
      <c r="J229" s="43">
        <f t="shared" si="146"/>
        <v>314</v>
      </c>
      <c r="K229" s="43">
        <f t="shared" si="146"/>
        <v>361</v>
      </c>
      <c r="L229" s="43">
        <f t="shared" si="146"/>
        <v>417</v>
      </c>
      <c r="M229" s="43">
        <f>M216/M208*M211</f>
        <v>493.6167893835617</v>
      </c>
      <c r="N229" s="43">
        <f t="shared" ref="N229:Q229" si="147">N216/N208*N211</f>
        <v>543.39357554452067</v>
      </c>
      <c r="O229" s="43">
        <f t="shared" si="147"/>
        <v>593.89702926854511</v>
      </c>
      <c r="P229" s="43">
        <f t="shared" si="147"/>
        <v>650.16914460950591</v>
      </c>
      <c r="Q229" s="43">
        <f t="shared" si="147"/>
        <v>709.41382383249174</v>
      </c>
    </row>
    <row r="230" spans="1:18" ht="14" customHeight="1" x14ac:dyDescent="0.2">
      <c r="A230" s="87"/>
      <c r="C230" s="4" t="s">
        <v>117</v>
      </c>
      <c r="F230" s="4"/>
      <c r="G230" s="4"/>
      <c r="H230" s="43">
        <f>H127+H133</f>
        <v>4878</v>
      </c>
      <c r="I230" s="43">
        <f>I127+I133</f>
        <v>5414</v>
      </c>
      <c r="J230" s="43">
        <f>J127+J133</f>
        <v>5950</v>
      </c>
      <c r="K230" s="43">
        <f>K127+K133</f>
        <v>6259</v>
      </c>
      <c r="L230" s="43">
        <f>L127+L133</f>
        <v>7030</v>
      </c>
      <c r="M230" s="43">
        <f>M220*M210</f>
        <v>7835.7703125000007</v>
      </c>
      <c r="N230" s="43">
        <f t="shared" ref="N230:Q230" si="148">N220*N210</f>
        <v>8625.9368377083356</v>
      </c>
      <c r="O230" s="43">
        <f t="shared" si="148"/>
        <v>9453.4677741187515</v>
      </c>
      <c r="P230" s="43">
        <f t="shared" si="148"/>
        <v>10320.913289430233</v>
      </c>
      <c r="Q230" s="43">
        <f t="shared" si="148"/>
        <v>11261.375017259212</v>
      </c>
      <c r="R230" s="43"/>
    </row>
    <row r="231" spans="1:18" ht="14" customHeight="1" x14ac:dyDescent="0.2">
      <c r="A231" s="87"/>
      <c r="C231" s="4" t="s">
        <v>118</v>
      </c>
      <c r="F231" s="4"/>
      <c r="G231" s="4"/>
      <c r="H231" s="44">
        <f>H130</f>
        <v>1736</v>
      </c>
      <c r="I231" s="44">
        <f>I130</f>
        <v>1790</v>
      </c>
      <c r="J231" s="44">
        <f>J130</f>
        <v>1942</v>
      </c>
      <c r="K231" s="44">
        <f>K130</f>
        <v>2336</v>
      </c>
      <c r="L231" s="44">
        <f>L130</f>
        <v>2648</v>
      </c>
      <c r="M231" s="44">
        <f>M221*M212</f>
        <v>2814.6913781250009</v>
      </c>
      <c r="N231" s="44">
        <f t="shared" ref="N231:Q231" si="149">N221*N212</f>
        <v>3089.3707037737513</v>
      </c>
      <c r="O231" s="44">
        <f t="shared" si="149"/>
        <v>3376.5151231312889</v>
      </c>
      <c r="P231" s="44">
        <f t="shared" si="149"/>
        <v>3686.1374493893877</v>
      </c>
      <c r="Q231" s="44">
        <f t="shared" si="149"/>
        <v>4021.6663198820515</v>
      </c>
    </row>
    <row r="232" spans="1:18" s="10" customFormat="1" ht="14" customHeight="1" x14ac:dyDescent="0.2">
      <c r="A232" s="86"/>
      <c r="C232" s="10" t="s">
        <v>66</v>
      </c>
      <c r="H232" s="42">
        <f t="shared" ref="H232:N232" si="150">SUM(H229:H231)</f>
        <v>6926</v>
      </c>
      <c r="I232" s="42">
        <f t="shared" si="150"/>
        <v>7583</v>
      </c>
      <c r="J232" s="42">
        <f t="shared" si="150"/>
        <v>8206</v>
      </c>
      <c r="K232" s="42">
        <f t="shared" si="150"/>
        <v>8956</v>
      </c>
      <c r="L232" s="42">
        <f t="shared" si="150"/>
        <v>10095</v>
      </c>
      <c r="M232" s="42">
        <f t="shared" si="150"/>
        <v>11144.078480008562</v>
      </c>
      <c r="N232" s="42">
        <f t="shared" si="150"/>
        <v>12258.701117026607</v>
      </c>
      <c r="O232" s="42">
        <f t="shared" ref="O232:Q232" si="151">SUM(O229:O231)</f>
        <v>13423.879926518584</v>
      </c>
      <c r="P232" s="42">
        <f t="shared" si="151"/>
        <v>14657.219883429127</v>
      </c>
      <c r="Q232" s="42">
        <f t="shared" si="151"/>
        <v>15992.455160973755</v>
      </c>
    </row>
    <row r="233" spans="1:18" s="10" customFormat="1" ht="14" customHeight="1" x14ac:dyDescent="0.2">
      <c r="A233" s="86"/>
      <c r="C233" s="10" t="s">
        <v>83</v>
      </c>
      <c r="F233" s="10" t="s">
        <v>6</v>
      </c>
      <c r="I233" s="42">
        <f>I232-H232</f>
        <v>657</v>
      </c>
      <c r="J233" s="42">
        <f t="shared" ref="J233:N233" si="152">J232-I232</f>
        <v>623</v>
      </c>
      <c r="K233" s="42">
        <f t="shared" si="152"/>
        <v>750</v>
      </c>
      <c r="L233" s="42">
        <f t="shared" si="152"/>
        <v>1139</v>
      </c>
      <c r="M233" s="42">
        <f t="shared" si="152"/>
        <v>1049.0784800085621</v>
      </c>
      <c r="N233" s="42">
        <f t="shared" si="152"/>
        <v>1114.6226370180448</v>
      </c>
      <c r="O233" s="42">
        <f t="shared" ref="O233" si="153">O232-N232</f>
        <v>1165.1788094919775</v>
      </c>
      <c r="P233" s="42">
        <f t="shared" ref="P233" si="154">P232-O232</f>
        <v>1233.3399569105422</v>
      </c>
      <c r="Q233" s="42">
        <f t="shared" ref="Q233" si="155">Q232-P232</f>
        <v>1335.2352775446288</v>
      </c>
    </row>
    <row r="235" spans="1:18" x14ac:dyDescent="0.2">
      <c r="B235" s="4" t="s">
        <v>162</v>
      </c>
      <c r="C235" s="21"/>
      <c r="F235" s="19" t="s">
        <v>181</v>
      </c>
      <c r="I235" s="43">
        <f>317-(I233+I227)</f>
        <v>-311</v>
      </c>
      <c r="J235" s="43">
        <f>-344-(J233+J227)</f>
        <v>-625</v>
      </c>
      <c r="K235" s="43">
        <f>76-(K233+K227)</f>
        <v>-570</v>
      </c>
      <c r="L235" s="43">
        <f>650-(L233+L227)</f>
        <v>-267</v>
      </c>
      <c r="M235" s="45">
        <v>0</v>
      </c>
      <c r="N235" s="45">
        <v>0</v>
      </c>
      <c r="O235" s="45">
        <v>0</v>
      </c>
      <c r="P235" s="45">
        <v>0</v>
      </c>
      <c r="Q235" s="45">
        <v>0</v>
      </c>
    </row>
    <row r="236" spans="1:18" s="10" customFormat="1" x14ac:dyDescent="0.2">
      <c r="A236" s="86"/>
      <c r="B236" s="10" t="s">
        <v>70</v>
      </c>
      <c r="F236" s="10" t="s">
        <v>6</v>
      </c>
      <c r="G236" s="17"/>
      <c r="I236" s="42">
        <f t="shared" ref="I236:N236" si="156">I233+I227+I235</f>
        <v>317</v>
      </c>
      <c r="J236" s="42">
        <f t="shared" si="156"/>
        <v>-344</v>
      </c>
      <c r="K236" s="42">
        <f t="shared" si="156"/>
        <v>76</v>
      </c>
      <c r="L236" s="42">
        <f t="shared" si="156"/>
        <v>650</v>
      </c>
      <c r="M236" s="42">
        <f t="shared" si="156"/>
        <v>97.805277240296164</v>
      </c>
      <c r="N236" s="42">
        <f t="shared" si="156"/>
        <v>663.51949282883197</v>
      </c>
      <c r="O236" s="42">
        <f t="shared" ref="O236:Q236" si="157">O233+O227+O235</f>
        <v>703.21993207940341</v>
      </c>
      <c r="P236" s="42">
        <f t="shared" si="157"/>
        <v>723.82713460916511</v>
      </c>
      <c r="Q236" s="42">
        <f t="shared" si="157"/>
        <v>793.98389848397437</v>
      </c>
    </row>
    <row r="238" spans="1:18" ht="26" customHeight="1" x14ac:dyDescent="0.2">
      <c r="B238" s="192" t="s">
        <v>177</v>
      </c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</row>
    <row r="240" spans="1:18" x14ac:dyDescent="0.2">
      <c r="Q240" s="124" t="str">
        <f>$Q$1</f>
        <v>CURRENTLY RUNNING: BASE CASE SCENARIO</v>
      </c>
    </row>
    <row r="241" spans="1:19" ht="25" x14ac:dyDescent="0.3">
      <c r="B241" s="27" t="str">
        <f>$B$2</f>
        <v>Adobe Inc.</v>
      </c>
      <c r="C241" s="25"/>
      <c r="D241" s="25"/>
      <c r="E241" s="25"/>
      <c r="F241" s="25"/>
      <c r="G241" s="25"/>
      <c r="H241" s="25"/>
      <c r="I241" s="25"/>
      <c r="J241" s="26"/>
      <c r="K241" s="25"/>
      <c r="L241" s="25"/>
      <c r="M241" s="25"/>
      <c r="N241" s="25"/>
      <c r="O241" s="25"/>
      <c r="P241" s="25"/>
      <c r="Q241" s="25"/>
    </row>
    <row r="242" spans="1:19" ht="19" thickBot="1" x14ac:dyDescent="0.3">
      <c r="A242" s="87"/>
      <c r="B242" s="29" t="s">
        <v>85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</row>
    <row r="243" spans="1:19" ht="8" customHeight="1" x14ac:dyDescent="0.25">
      <c r="B243" s="30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 spans="1:19" x14ac:dyDescent="0.2">
      <c r="M244" s="61" t="s">
        <v>7</v>
      </c>
      <c r="N244" s="6"/>
      <c r="O244" s="6"/>
      <c r="P244" s="6"/>
      <c r="Q244" s="6"/>
    </row>
    <row r="245" spans="1:19" ht="8" customHeight="1" x14ac:dyDescent="0.2"/>
    <row r="246" spans="1:19" x14ac:dyDescent="0.2">
      <c r="H246" s="7">
        <f>I246-1</f>
        <v>2021</v>
      </c>
      <c r="I246" s="7">
        <f>J246-1</f>
        <v>2022</v>
      </c>
      <c r="J246" s="7">
        <f>K246-1</f>
        <v>2023</v>
      </c>
      <c r="K246" s="7">
        <f>L246-1</f>
        <v>2024</v>
      </c>
      <c r="L246" s="7">
        <f>M246-1</f>
        <v>2025</v>
      </c>
      <c r="M246" s="8">
        <f>$M$7</f>
        <v>2026</v>
      </c>
      <c r="N246" s="9">
        <f>M246+1</f>
        <v>2027</v>
      </c>
      <c r="O246" s="9">
        <f>N246+1</f>
        <v>2028</v>
      </c>
      <c r="P246" s="9">
        <f>O246+1</f>
        <v>2029</v>
      </c>
      <c r="Q246" s="9">
        <f>P246+1</f>
        <v>2030</v>
      </c>
    </row>
    <row r="247" spans="1:19" ht="8" customHeight="1" x14ac:dyDescent="0.2"/>
    <row r="248" spans="1:19" x14ac:dyDescent="0.2">
      <c r="B248" s="63" t="s">
        <v>87</v>
      </c>
      <c r="C248" s="49"/>
      <c r="D248" s="50"/>
    </row>
    <row r="250" spans="1:19" x14ac:dyDescent="0.2">
      <c r="B250" s="4" t="s">
        <v>88</v>
      </c>
      <c r="F250" s="19" t="s">
        <v>6</v>
      </c>
      <c r="H250" s="45">
        <v>1517</v>
      </c>
      <c r="I250" s="43">
        <f>H255</f>
        <v>1673</v>
      </c>
      <c r="J250" s="43">
        <f t="shared" ref="J250:Q250" si="158">I255</f>
        <v>1908</v>
      </c>
      <c r="K250" s="43">
        <f t="shared" si="158"/>
        <v>2030</v>
      </c>
      <c r="L250" s="43">
        <f t="shared" si="158"/>
        <v>1936</v>
      </c>
      <c r="M250" s="43">
        <f>L255</f>
        <v>1873</v>
      </c>
      <c r="N250" s="43">
        <f t="shared" si="158"/>
        <v>1844.4939999999999</v>
      </c>
      <c r="O250" s="43">
        <f t="shared" si="158"/>
        <v>1819.4657319999999</v>
      </c>
      <c r="P250" s="43">
        <f t="shared" si="158"/>
        <v>1797.4909126959999</v>
      </c>
      <c r="Q250" s="43">
        <f t="shared" si="158"/>
        <v>1778.1970213470879</v>
      </c>
    </row>
    <row r="251" spans="1:19" x14ac:dyDescent="0.2">
      <c r="A251" s="88"/>
      <c r="B251" s="4" t="s">
        <v>149</v>
      </c>
      <c r="H251" s="43">
        <f>-H174</f>
        <v>348</v>
      </c>
      <c r="I251" s="43">
        <f t="shared" ref="I251:L251" si="159">-I174</f>
        <v>442</v>
      </c>
      <c r="J251" s="43">
        <f t="shared" si="159"/>
        <v>360</v>
      </c>
      <c r="K251" s="43">
        <f t="shared" si="159"/>
        <v>183</v>
      </c>
      <c r="L251" s="43">
        <f t="shared" si="159"/>
        <v>179</v>
      </c>
      <c r="M251" s="43">
        <f>Assumptions!$G$17</f>
        <v>200</v>
      </c>
      <c r="N251" s="43">
        <f>Assumptions!$G$17</f>
        <v>200</v>
      </c>
      <c r="O251" s="43">
        <f>Assumptions!$G$17</f>
        <v>200</v>
      </c>
      <c r="P251" s="43">
        <f>Assumptions!$G$17</f>
        <v>200</v>
      </c>
      <c r="Q251" s="43">
        <f>Assumptions!$G$17</f>
        <v>200</v>
      </c>
    </row>
    <row r="252" spans="1:19" x14ac:dyDescent="0.2">
      <c r="B252" s="4" t="s">
        <v>195</v>
      </c>
      <c r="H252" s="45">
        <v>207</v>
      </c>
      <c r="I252" s="45">
        <v>189</v>
      </c>
      <c r="J252" s="45">
        <v>235</v>
      </c>
      <c r="K252" s="45">
        <v>239</v>
      </c>
      <c r="L252" s="45">
        <v>236</v>
      </c>
      <c r="M252" s="43">
        <f>M253*M250</f>
        <v>228.506</v>
      </c>
      <c r="N252" s="43">
        <f t="shared" ref="N252:Q252" si="160">N253*N250</f>
        <v>225.028268</v>
      </c>
      <c r="O252" s="43">
        <f t="shared" si="160"/>
        <v>221.97481930399999</v>
      </c>
      <c r="P252" s="43">
        <f t="shared" si="160"/>
        <v>219.29389134891198</v>
      </c>
      <c r="Q252" s="43">
        <f t="shared" si="160"/>
        <v>216.94003660434473</v>
      </c>
    </row>
    <row r="253" spans="1:19" x14ac:dyDescent="0.2">
      <c r="C253" s="4" t="s">
        <v>86</v>
      </c>
      <c r="H253" s="14">
        <f>H252/H250</f>
        <v>0.13645352669742913</v>
      </c>
      <c r="I253" s="14">
        <f t="shared" ref="I253:K253" si="161">I252/I250</f>
        <v>0.11297071129707113</v>
      </c>
      <c r="J253" s="14">
        <f t="shared" si="161"/>
        <v>0.12316561844863731</v>
      </c>
      <c r="K253" s="14">
        <f t="shared" si="161"/>
        <v>0.11773399014778325</v>
      </c>
      <c r="L253" s="14">
        <f>L252/L250</f>
        <v>0.12190082644628099</v>
      </c>
      <c r="M253" s="14">
        <f>Assumptions!$G$18</f>
        <v>0.122</v>
      </c>
      <c r="N253" s="14">
        <f>Assumptions!$G$18</f>
        <v>0.122</v>
      </c>
      <c r="O253" s="14">
        <f>Assumptions!$G$18</f>
        <v>0.122</v>
      </c>
      <c r="P253" s="14">
        <f>Assumptions!$G$18</f>
        <v>0.122</v>
      </c>
      <c r="Q253" s="14">
        <f>Assumptions!$G$18</f>
        <v>0.122</v>
      </c>
    </row>
    <row r="254" spans="1:19" x14ac:dyDescent="0.2">
      <c r="B254" s="4" t="s">
        <v>90</v>
      </c>
      <c r="H254" s="44">
        <f>H255-H250-H251+H252</f>
        <v>15</v>
      </c>
      <c r="I254" s="44">
        <f t="shared" ref="I254:L254" si="162">I255-I250-I251+I252</f>
        <v>-18</v>
      </c>
      <c r="J254" s="44">
        <f t="shared" si="162"/>
        <v>-3</v>
      </c>
      <c r="K254" s="44">
        <f t="shared" si="162"/>
        <v>-38</v>
      </c>
      <c r="L254" s="44">
        <f t="shared" si="162"/>
        <v>-6</v>
      </c>
      <c r="M254" s="47">
        <v>0</v>
      </c>
      <c r="N254" s="47">
        <v>0</v>
      </c>
      <c r="O254" s="47">
        <v>0</v>
      </c>
      <c r="P254" s="47">
        <v>0</v>
      </c>
      <c r="Q254" s="47">
        <v>0</v>
      </c>
    </row>
    <row r="255" spans="1:19" s="10" customFormat="1" x14ac:dyDescent="0.2">
      <c r="A255" s="90"/>
      <c r="B255" s="10" t="s">
        <v>89</v>
      </c>
      <c r="F255" s="20" t="s">
        <v>6</v>
      </c>
      <c r="G255" s="17"/>
      <c r="H255" s="42">
        <f>H116</f>
        <v>1673</v>
      </c>
      <c r="I255" s="42">
        <f t="shared" ref="I255:L255" si="163">I116</f>
        <v>1908</v>
      </c>
      <c r="J255" s="42">
        <f t="shared" si="163"/>
        <v>2030</v>
      </c>
      <c r="K255" s="42">
        <f t="shared" si="163"/>
        <v>1936</v>
      </c>
      <c r="L255" s="42">
        <f t="shared" si="163"/>
        <v>1873</v>
      </c>
      <c r="M255" s="42">
        <f>M250+M251-M252+M254</f>
        <v>1844.4939999999999</v>
      </c>
      <c r="N255" s="42">
        <f>N250+N251-N252+N254</f>
        <v>1819.4657319999999</v>
      </c>
      <c r="O255" s="42">
        <f t="shared" ref="O255:Q255" si="164">O250+O251-O252+O254</f>
        <v>1797.4909126959999</v>
      </c>
      <c r="P255" s="42">
        <f t="shared" si="164"/>
        <v>1778.1970213470879</v>
      </c>
      <c r="Q255" s="42">
        <f t="shared" si="164"/>
        <v>1761.2569847427433</v>
      </c>
    </row>
    <row r="256" spans="1:19" x14ac:dyDescent="0.2">
      <c r="N256" s="43"/>
      <c r="O256" s="43"/>
      <c r="P256" s="43"/>
      <c r="Q256" s="43"/>
      <c r="R256" s="43"/>
      <c r="S256" s="43"/>
    </row>
    <row r="257" spans="1:18" x14ac:dyDescent="0.2">
      <c r="B257" s="4" t="s">
        <v>94</v>
      </c>
      <c r="F257" s="19" t="s">
        <v>6</v>
      </c>
      <c r="I257" s="43">
        <f>H261</f>
        <v>1820</v>
      </c>
      <c r="J257" s="43">
        <f t="shared" ref="J257:Q257" si="165">I261</f>
        <v>1449</v>
      </c>
      <c r="K257" s="43">
        <f t="shared" si="165"/>
        <v>1088</v>
      </c>
      <c r="L257" s="43">
        <f t="shared" si="165"/>
        <v>782</v>
      </c>
      <c r="M257" s="43">
        <f t="shared" si="165"/>
        <v>495</v>
      </c>
      <c r="N257" s="43">
        <f t="shared" si="165"/>
        <v>400.66666666666663</v>
      </c>
      <c r="O257" s="43">
        <f t="shared" si="165"/>
        <v>335</v>
      </c>
      <c r="P257" s="43">
        <f t="shared" si="165"/>
        <v>302</v>
      </c>
      <c r="Q257" s="43">
        <f t="shared" si="165"/>
        <v>259.66666666666663</v>
      </c>
      <c r="R257" s="43"/>
    </row>
    <row r="258" spans="1:18" x14ac:dyDescent="0.2">
      <c r="B258" s="4" t="s">
        <v>149</v>
      </c>
      <c r="H258" s="43">
        <f>-H175</f>
        <v>42</v>
      </c>
      <c r="I258" s="43">
        <f t="shared" ref="I258:L258" si="166">-I175</f>
        <v>46</v>
      </c>
      <c r="J258" s="43">
        <f t="shared" si="166"/>
        <v>53</v>
      </c>
      <c r="K258" s="43">
        <f t="shared" si="166"/>
        <v>108</v>
      </c>
      <c r="L258" s="43">
        <f t="shared" si="166"/>
        <v>134</v>
      </c>
      <c r="M258" s="43">
        <f>Assumptions!$G$19</f>
        <v>80</v>
      </c>
      <c r="N258" s="43">
        <f>Assumptions!$G$19</f>
        <v>80</v>
      </c>
      <c r="O258" s="43">
        <f>Assumptions!$G$19</f>
        <v>80</v>
      </c>
      <c r="P258" s="43">
        <f>Assumptions!$G$19</f>
        <v>80</v>
      </c>
      <c r="Q258" s="43">
        <f>Assumptions!$G$19</f>
        <v>80</v>
      </c>
    </row>
    <row r="259" spans="1:18" x14ac:dyDescent="0.2">
      <c r="B259" s="4" t="s">
        <v>92</v>
      </c>
      <c r="H259" s="43">
        <f>-H176</f>
        <v>2682</v>
      </c>
      <c r="I259" s="43">
        <f t="shared" ref="I259:L259" si="167">-I176</f>
        <v>126</v>
      </c>
      <c r="J259" s="43">
        <f t="shared" si="167"/>
        <v>0</v>
      </c>
      <c r="K259" s="43">
        <f t="shared" si="167"/>
        <v>0</v>
      </c>
      <c r="L259" s="43">
        <f t="shared" si="167"/>
        <v>17</v>
      </c>
      <c r="M259" s="43">
        <f>Assumptions!$G$21</f>
        <v>0</v>
      </c>
      <c r="N259" s="43">
        <f>Assumptions!$G$21</f>
        <v>0</v>
      </c>
      <c r="O259" s="43">
        <f>Assumptions!$G$21</f>
        <v>0</v>
      </c>
      <c r="P259" s="43">
        <f>Assumptions!$G$21</f>
        <v>0</v>
      </c>
      <c r="Q259" s="43">
        <f>Assumptions!$G$21</f>
        <v>0</v>
      </c>
    </row>
    <row r="260" spans="1:18" x14ac:dyDescent="0.2">
      <c r="B260" s="4" t="s">
        <v>196</v>
      </c>
      <c r="C260" s="10"/>
      <c r="D260" s="10"/>
      <c r="E260" s="10"/>
      <c r="F260" s="20" t="s">
        <v>6</v>
      </c>
      <c r="H260" s="44">
        <f>H64</f>
        <v>172</v>
      </c>
      <c r="I260" s="44">
        <f>I64</f>
        <v>169</v>
      </c>
      <c r="J260" s="44">
        <f>J64</f>
        <v>168</v>
      </c>
      <c r="K260" s="44">
        <f>K64</f>
        <v>169</v>
      </c>
      <c r="L260" s="44">
        <f>L64</f>
        <v>157</v>
      </c>
      <c r="M260" s="44">
        <f>Assumptions!R7+Assumptions!R8</f>
        <v>174.33333333333334</v>
      </c>
      <c r="N260" s="44">
        <f>Assumptions!S7+Assumptions!S8</f>
        <v>145.66666666666666</v>
      </c>
      <c r="O260" s="44">
        <f>Assumptions!T7+Assumptions!T8</f>
        <v>113</v>
      </c>
      <c r="P260" s="44">
        <f>Assumptions!U7+Assumptions!U8</f>
        <v>122.33333333333334</v>
      </c>
      <c r="Q260" s="44">
        <f>Assumptions!V7+Assumptions!V8</f>
        <v>131.66666666666669</v>
      </c>
    </row>
    <row r="261" spans="1:18" s="10" customFormat="1" x14ac:dyDescent="0.2">
      <c r="A261" s="90"/>
      <c r="B261" s="10" t="s">
        <v>93</v>
      </c>
      <c r="F261" s="20"/>
      <c r="G261" s="17"/>
      <c r="H261" s="42">
        <f>H119</f>
        <v>1820</v>
      </c>
      <c r="I261" s="42">
        <f t="shared" ref="I261:L261" si="168">I119</f>
        <v>1449</v>
      </c>
      <c r="J261" s="42">
        <f t="shared" si="168"/>
        <v>1088</v>
      </c>
      <c r="K261" s="42">
        <f t="shared" si="168"/>
        <v>782</v>
      </c>
      <c r="L261" s="42">
        <f t="shared" si="168"/>
        <v>495</v>
      </c>
      <c r="M261" s="42">
        <f>M257+M258+M259-M260</f>
        <v>400.66666666666663</v>
      </c>
      <c r="N261" s="42">
        <f>N257+N258+N259-N260</f>
        <v>335</v>
      </c>
      <c r="O261" s="42">
        <f t="shared" ref="O261:Q261" si="169">O257+O258+O259-O260</f>
        <v>302</v>
      </c>
      <c r="P261" s="42">
        <f t="shared" si="169"/>
        <v>259.66666666666663</v>
      </c>
      <c r="Q261" s="42">
        <f t="shared" si="169"/>
        <v>207.99999999999994</v>
      </c>
    </row>
    <row r="263" spans="1:18" x14ac:dyDescent="0.2">
      <c r="B263" s="4" t="s">
        <v>244</v>
      </c>
      <c r="H263" s="43">
        <f>H264-(H252+H260)</f>
        <v>409</v>
      </c>
      <c r="I263" s="43">
        <f t="shared" ref="I263:L263" si="170">I264-(I252+I260)</f>
        <v>498</v>
      </c>
      <c r="J263" s="43">
        <f>J264-(J252+J260)</f>
        <v>469</v>
      </c>
      <c r="K263" s="43">
        <f t="shared" si="170"/>
        <v>449</v>
      </c>
      <c r="L263" s="43">
        <f t="shared" si="170"/>
        <v>425</v>
      </c>
      <c r="M263" s="43">
        <f>Assumptions!R11</f>
        <v>400</v>
      </c>
      <c r="N263" s="43">
        <f>Assumptions!S11</f>
        <v>380</v>
      </c>
      <c r="O263" s="43">
        <f>Assumptions!T11</f>
        <v>350</v>
      </c>
      <c r="P263" s="43">
        <f>Assumptions!U11</f>
        <v>330</v>
      </c>
      <c r="Q263" s="43">
        <f>Assumptions!V11</f>
        <v>300</v>
      </c>
    </row>
    <row r="264" spans="1:18" s="10" customFormat="1" x14ac:dyDescent="0.2">
      <c r="A264" s="87"/>
      <c r="B264" s="10" t="s">
        <v>146</v>
      </c>
      <c r="F264" s="20" t="s">
        <v>6</v>
      </c>
      <c r="G264" s="17"/>
      <c r="H264" s="42">
        <f>H164</f>
        <v>788</v>
      </c>
      <c r="I264" s="42">
        <f t="shared" ref="I264:L264" si="171">I164</f>
        <v>856</v>
      </c>
      <c r="J264" s="42">
        <f>J164</f>
        <v>872</v>
      </c>
      <c r="K264" s="42">
        <f t="shared" si="171"/>
        <v>857</v>
      </c>
      <c r="L264" s="42">
        <f t="shared" si="171"/>
        <v>818</v>
      </c>
      <c r="M264" s="42">
        <f>M263+M260+M252</f>
        <v>802.83933333333334</v>
      </c>
      <c r="N264" s="42">
        <f>N263+N260+N252</f>
        <v>750.69493466666665</v>
      </c>
      <c r="O264" s="42">
        <f t="shared" ref="O264:Q264" si="172">O263+O260+O252</f>
        <v>684.97481930399999</v>
      </c>
      <c r="P264" s="42">
        <f t="shared" si="172"/>
        <v>671.62722468224536</v>
      </c>
      <c r="Q264" s="42">
        <f t="shared" si="172"/>
        <v>648.60670327101138</v>
      </c>
    </row>
    <row r="265" spans="1:18" x14ac:dyDescent="0.2">
      <c r="H265" s="10"/>
      <c r="I265" s="10"/>
      <c r="J265" s="10"/>
    </row>
    <row r="266" spans="1:18" ht="43" customHeight="1" x14ac:dyDescent="0.2">
      <c r="B266" s="192" t="s">
        <v>261</v>
      </c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</row>
    <row r="270" spans="1:18" x14ac:dyDescent="0.2">
      <c r="Q270" s="124" t="str">
        <f>$Q$1</f>
        <v>CURRENTLY RUNNING: BASE CASE SCENARIO</v>
      </c>
    </row>
    <row r="271" spans="1:18" ht="25" x14ac:dyDescent="0.3">
      <c r="B271" s="27" t="str">
        <f>$B$2</f>
        <v>Adobe Inc.</v>
      </c>
      <c r="C271" s="25"/>
      <c r="D271" s="25"/>
      <c r="E271" s="25"/>
      <c r="F271" s="25"/>
      <c r="G271" s="25"/>
      <c r="H271" s="25"/>
      <c r="I271" s="25"/>
      <c r="J271" s="26"/>
      <c r="K271" s="25"/>
      <c r="L271" s="25"/>
      <c r="M271" s="25"/>
      <c r="N271" s="25"/>
      <c r="O271" s="25"/>
      <c r="P271" s="25"/>
      <c r="Q271" s="25"/>
    </row>
    <row r="272" spans="1:18" ht="19" thickBot="1" x14ac:dyDescent="0.3">
      <c r="A272" s="88"/>
      <c r="B272" s="29" t="s">
        <v>157</v>
      </c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</row>
    <row r="273" spans="1:17" ht="8" customHeight="1" x14ac:dyDescent="0.25">
      <c r="B273" s="30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 spans="1:17" x14ac:dyDescent="0.2">
      <c r="M274" s="61" t="s">
        <v>7</v>
      </c>
      <c r="N274" s="6"/>
      <c r="O274" s="6"/>
      <c r="P274" s="6"/>
      <c r="Q274" s="6"/>
    </row>
    <row r="275" spans="1:17" ht="8" customHeight="1" x14ac:dyDescent="0.2"/>
    <row r="276" spans="1:17" x14ac:dyDescent="0.2">
      <c r="H276" s="7">
        <f>I276-1</f>
        <v>2021</v>
      </c>
      <c r="I276" s="7">
        <f>J276-1</f>
        <v>2022</v>
      </c>
      <c r="J276" s="7">
        <f>K276-1</f>
        <v>2023</v>
      </c>
      <c r="K276" s="7">
        <f>L276-1</f>
        <v>2024</v>
      </c>
      <c r="L276" s="7">
        <f>M276-1</f>
        <v>2025</v>
      </c>
      <c r="M276" s="8">
        <f>$M$7</f>
        <v>2026</v>
      </c>
      <c r="N276" s="9">
        <f>M276+1</f>
        <v>2027</v>
      </c>
      <c r="O276" s="9">
        <f>N276+1</f>
        <v>2028</v>
      </c>
      <c r="P276" s="9">
        <f>O276+1</f>
        <v>2029</v>
      </c>
      <c r="Q276" s="9">
        <f>P276+1</f>
        <v>2030</v>
      </c>
    </row>
    <row r="277" spans="1:17" ht="8" customHeight="1" x14ac:dyDescent="0.2"/>
    <row r="279" spans="1:17" x14ac:dyDescent="0.2">
      <c r="A279" s="86"/>
      <c r="B279" s="10" t="s">
        <v>158</v>
      </c>
    </row>
    <row r="280" spans="1:17" x14ac:dyDescent="0.2">
      <c r="C280" s="4" t="s">
        <v>159</v>
      </c>
      <c r="H280" s="43"/>
      <c r="I280" s="43"/>
      <c r="J280" s="43"/>
      <c r="K280" s="43"/>
      <c r="L280" s="43"/>
      <c r="M280" s="43">
        <f>L192</f>
        <v>5431</v>
      </c>
      <c r="N280" s="43">
        <f>M192</f>
        <v>5176.7471808861301</v>
      </c>
      <c r="O280" s="43">
        <f t="shared" ref="O280:Q280" si="173">N192</f>
        <v>6738.8128452226483</v>
      </c>
      <c r="P280" s="43">
        <f t="shared" si="173"/>
        <v>9217.9524385869408</v>
      </c>
      <c r="Q280" s="43">
        <f t="shared" si="173"/>
        <v>11276.883774779049</v>
      </c>
    </row>
    <row r="281" spans="1:17" x14ac:dyDescent="0.2">
      <c r="C281" s="4" t="s">
        <v>160</v>
      </c>
      <c r="H281" s="16"/>
      <c r="I281" s="16"/>
      <c r="J281" s="16"/>
      <c r="K281" s="16"/>
      <c r="L281" s="16"/>
      <c r="M281" s="16">
        <f>Assumptions!$M$17</f>
        <v>0.01</v>
      </c>
      <c r="N281" s="16">
        <f>Assumptions!$M$17</f>
        <v>0.01</v>
      </c>
      <c r="O281" s="16">
        <f>Assumptions!$M$17</f>
        <v>0.01</v>
      </c>
      <c r="P281" s="16">
        <f>Assumptions!$M$17</f>
        <v>0.01</v>
      </c>
      <c r="Q281" s="16">
        <f>Assumptions!$M$17</f>
        <v>0.01</v>
      </c>
    </row>
    <row r="282" spans="1:17" s="10" customFormat="1" x14ac:dyDescent="0.2">
      <c r="A282" s="86"/>
      <c r="C282" s="10" t="s">
        <v>161</v>
      </c>
      <c r="F282" s="20"/>
      <c r="G282" s="17"/>
      <c r="H282" s="42"/>
      <c r="I282" s="42"/>
      <c r="J282" s="42"/>
      <c r="K282" s="42"/>
      <c r="L282" s="42"/>
      <c r="M282" s="42">
        <f>M280*M281</f>
        <v>54.31</v>
      </c>
      <c r="N282" s="42">
        <f>N280*N281</f>
        <v>51.767471808861302</v>
      </c>
      <c r="O282" s="42">
        <f t="shared" ref="O282:Q282" si="174">O280*O281</f>
        <v>67.388128452226482</v>
      </c>
      <c r="P282" s="42">
        <f t="shared" si="174"/>
        <v>92.179524385869414</v>
      </c>
      <c r="Q282" s="42">
        <f t="shared" si="174"/>
        <v>112.7688377477905</v>
      </c>
    </row>
    <row r="284" spans="1:17" x14ac:dyDescent="0.2">
      <c r="A284" s="86"/>
      <c r="B284" s="10" t="s">
        <v>163</v>
      </c>
    </row>
    <row r="285" spans="1:17" x14ac:dyDescent="0.2">
      <c r="C285" s="4" t="s">
        <v>164</v>
      </c>
      <c r="L285" s="14">
        <f>Assumptions!$M$18</f>
        <v>4.1599999999999998E-2</v>
      </c>
      <c r="M285" s="14">
        <f>Assumptions!$M$18</f>
        <v>4.1599999999999998E-2</v>
      </c>
      <c r="N285" s="14">
        <f>Assumptions!$M$18</f>
        <v>4.1599999999999998E-2</v>
      </c>
      <c r="O285" s="14">
        <f>Assumptions!$M$18</f>
        <v>4.1599999999999998E-2</v>
      </c>
      <c r="P285" s="14">
        <f>Assumptions!$M$18</f>
        <v>4.1599999999999998E-2</v>
      </c>
      <c r="Q285" s="14">
        <f>Assumptions!$M$18</f>
        <v>4.1599999999999998E-2</v>
      </c>
    </row>
    <row r="286" spans="1:17" x14ac:dyDescent="0.2">
      <c r="C286" s="4" t="s">
        <v>168</v>
      </c>
      <c r="I286" s="43"/>
      <c r="J286" s="43"/>
      <c r="K286" s="43"/>
      <c r="L286" s="43">
        <f>K126</f>
        <v>1499</v>
      </c>
      <c r="M286" s="43">
        <f>L126</f>
        <v>0</v>
      </c>
      <c r="N286" s="43">
        <f>M126</f>
        <v>0</v>
      </c>
      <c r="O286" s="43">
        <f t="shared" ref="O286:Q286" si="175">N126</f>
        <v>0</v>
      </c>
      <c r="P286" s="43">
        <f t="shared" si="175"/>
        <v>0</v>
      </c>
      <c r="Q286" s="43">
        <f t="shared" si="175"/>
        <v>0</v>
      </c>
    </row>
    <row r="287" spans="1:17" x14ac:dyDescent="0.2">
      <c r="C287" s="4" t="s">
        <v>169</v>
      </c>
      <c r="I287" s="43"/>
      <c r="J287" s="43"/>
      <c r="K287" s="43"/>
      <c r="L287" s="43">
        <f>K132</f>
        <v>4129</v>
      </c>
      <c r="M287" s="43">
        <f>L132</f>
        <v>6210</v>
      </c>
      <c r="N287" s="43">
        <f>M132</f>
        <v>4860</v>
      </c>
      <c r="O287" s="43">
        <f t="shared" ref="O287:Q287" si="176">N132</f>
        <v>4060</v>
      </c>
      <c r="P287" s="43">
        <f t="shared" si="176"/>
        <v>3310</v>
      </c>
      <c r="Q287" s="43">
        <f t="shared" si="176"/>
        <v>1310</v>
      </c>
    </row>
    <row r="288" spans="1:17" x14ac:dyDescent="0.2">
      <c r="C288" s="4" t="s">
        <v>167</v>
      </c>
      <c r="I288" s="43"/>
      <c r="M288" s="43">
        <f>Assumptions!$M$19+Assumptions!$M$20</f>
        <v>0</v>
      </c>
      <c r="N288" s="43">
        <f>Assumptions!$M$19+Assumptions!$M$20</f>
        <v>0</v>
      </c>
      <c r="O288" s="43">
        <f>Assumptions!$M$19+Assumptions!$M$20</f>
        <v>0</v>
      </c>
      <c r="P288" s="43">
        <f>Assumptions!$M$19+Assumptions!$M$20</f>
        <v>0</v>
      </c>
      <c r="Q288" s="43">
        <f>Assumptions!$M$19+Assumptions!$M$20</f>
        <v>0</v>
      </c>
    </row>
    <row r="289" spans="1:17" x14ac:dyDescent="0.2">
      <c r="C289" s="4" t="s">
        <v>184</v>
      </c>
      <c r="I289" s="43"/>
      <c r="M289" s="43">
        <f>-Assumptions!S9</f>
        <v>-1350</v>
      </c>
      <c r="N289" s="43">
        <f>-Assumptions!T9</f>
        <v>-800</v>
      </c>
      <c r="O289" s="43">
        <f>-Assumptions!U9</f>
        <v>-750</v>
      </c>
      <c r="P289" s="43">
        <f>-Assumptions!V9</f>
        <v>-2000</v>
      </c>
      <c r="Q289" s="43">
        <f>-Assumptions!W8</f>
        <v>0</v>
      </c>
    </row>
    <row r="290" spans="1:17" x14ac:dyDescent="0.2">
      <c r="C290" s="4" t="s">
        <v>170</v>
      </c>
      <c r="H290" s="44"/>
      <c r="I290" s="44"/>
      <c r="J290" s="44"/>
      <c r="K290" s="44"/>
      <c r="L290" s="44">
        <f t="shared" ref="L290" si="177">L126+L132</f>
        <v>6210</v>
      </c>
      <c r="M290" s="44">
        <f>M287+M286+M288+M289</f>
        <v>4860</v>
      </c>
      <c r="N290" s="44">
        <f>N287+N286+N288+N289</f>
        <v>4060</v>
      </c>
      <c r="O290" s="44">
        <f t="shared" ref="O290:Q290" si="178">O287+O286+O288+O289</f>
        <v>3310</v>
      </c>
      <c r="P290" s="44">
        <f t="shared" si="178"/>
        <v>1310</v>
      </c>
      <c r="Q290" s="44">
        <f t="shared" si="178"/>
        <v>1310</v>
      </c>
    </row>
    <row r="291" spans="1:17" s="10" customFormat="1" x14ac:dyDescent="0.2">
      <c r="A291" s="86"/>
      <c r="C291" s="10" t="s">
        <v>165</v>
      </c>
      <c r="F291" s="20" t="s">
        <v>182</v>
      </c>
      <c r="G291" s="17"/>
      <c r="L291" s="42"/>
      <c r="M291" s="42">
        <f>AVERAGE(M287+M286,M290)*M285</f>
        <v>230.256</v>
      </c>
      <c r="N291" s="42">
        <f>AVERAGE(N287+N286,N290)*N285</f>
        <v>185.536</v>
      </c>
      <c r="O291" s="42">
        <f t="shared" ref="O291:Q291" si="179">AVERAGE(O287+O286,O290)*O285</f>
        <v>153.29599999999999</v>
      </c>
      <c r="P291" s="42">
        <f t="shared" si="179"/>
        <v>96.095999999999989</v>
      </c>
      <c r="Q291" s="42">
        <f t="shared" si="179"/>
        <v>54.495999999999995</v>
      </c>
    </row>
    <row r="293" spans="1:17" s="10" customFormat="1" x14ac:dyDescent="0.2">
      <c r="A293" s="86"/>
      <c r="B293" s="10" t="s">
        <v>166</v>
      </c>
      <c r="F293" s="20"/>
      <c r="G293" s="17"/>
      <c r="H293" s="42">
        <f t="shared" ref="H293:K293" si="180">H87</f>
        <v>-113</v>
      </c>
      <c r="I293" s="42">
        <f t="shared" si="180"/>
        <v>-112</v>
      </c>
      <c r="J293" s="42">
        <f t="shared" si="180"/>
        <v>-113</v>
      </c>
      <c r="K293" s="42">
        <f t="shared" si="180"/>
        <v>-169</v>
      </c>
      <c r="L293" s="42">
        <f>L87</f>
        <v>-263</v>
      </c>
      <c r="M293" s="42">
        <f>M282-M291</f>
        <v>-175.946</v>
      </c>
      <c r="N293" s="42">
        <f>N282-N291</f>
        <v>-133.7685281911387</v>
      </c>
      <c r="O293" s="42">
        <f t="shared" ref="O293:Q293" si="181">O282-O291</f>
        <v>-85.90787154777351</v>
      </c>
      <c r="P293" s="42">
        <f t="shared" si="181"/>
        <v>-3.9164756141305759</v>
      </c>
      <c r="Q293" s="42">
        <f t="shared" si="181"/>
        <v>58.272837747790504</v>
      </c>
    </row>
    <row r="300" spans="1:17" x14ac:dyDescent="0.2">
      <c r="Q300" s="124" t="str">
        <f>$Q$1</f>
        <v>CURRENTLY RUNNING: BASE CASE SCENARIO</v>
      </c>
    </row>
    <row r="301" spans="1:17" ht="25" x14ac:dyDescent="0.3">
      <c r="B301" s="27" t="str">
        <f>$B$2</f>
        <v>Adobe Inc.</v>
      </c>
      <c r="C301" s="25"/>
      <c r="D301" s="25"/>
      <c r="E301" s="25"/>
      <c r="F301" s="25"/>
      <c r="G301" s="25"/>
      <c r="H301" s="25"/>
      <c r="I301" s="25"/>
      <c r="J301" s="26"/>
      <c r="K301" s="25"/>
      <c r="L301" s="25"/>
      <c r="M301" s="25"/>
      <c r="N301" s="25"/>
      <c r="O301" s="25"/>
      <c r="P301" s="25"/>
      <c r="Q301" s="25"/>
    </row>
    <row r="302" spans="1:17" ht="19" thickBot="1" x14ac:dyDescent="0.3">
      <c r="A302" s="87"/>
      <c r="B302" s="29" t="s">
        <v>153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</row>
    <row r="303" spans="1:17" ht="8" customHeight="1" x14ac:dyDescent="0.25">
      <c r="B303" s="30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</row>
    <row r="304" spans="1:17" x14ac:dyDescent="0.2">
      <c r="M304" s="61" t="s">
        <v>7</v>
      </c>
      <c r="N304" s="6"/>
      <c r="O304" s="6"/>
      <c r="P304" s="6"/>
      <c r="Q304" s="6"/>
    </row>
    <row r="305" spans="1:18" ht="8" customHeight="1" x14ac:dyDescent="0.2"/>
    <row r="306" spans="1:18" x14ac:dyDescent="0.2">
      <c r="H306" s="7">
        <f>I306-1</f>
        <v>2021</v>
      </c>
      <c r="I306" s="7">
        <f>J306-1</f>
        <v>2022</v>
      </c>
      <c r="J306" s="7">
        <f>K306-1</f>
        <v>2023</v>
      </c>
      <c r="K306" s="7">
        <f>L306-1</f>
        <v>2024</v>
      </c>
      <c r="L306" s="7">
        <f>M306-1</f>
        <v>2025</v>
      </c>
      <c r="M306" s="8">
        <f>$M$7</f>
        <v>2026</v>
      </c>
      <c r="N306" s="9">
        <f>M306+1</f>
        <v>2027</v>
      </c>
      <c r="O306" s="9">
        <f>N306+1</f>
        <v>2028</v>
      </c>
      <c r="P306" s="9">
        <f>O306+1</f>
        <v>2029</v>
      </c>
      <c r="Q306" s="9">
        <f>P306+1</f>
        <v>2030</v>
      </c>
    </row>
    <row r="307" spans="1:18" ht="8" customHeight="1" x14ac:dyDescent="0.2"/>
    <row r="308" spans="1:18" x14ac:dyDescent="0.2">
      <c r="B308" s="48" t="s">
        <v>152</v>
      </c>
      <c r="C308" s="49"/>
      <c r="D308" s="49"/>
      <c r="E308" s="108">
        <f>Assumptions!G5</f>
        <v>0.2</v>
      </c>
    </row>
    <row r="309" spans="1:18" x14ac:dyDescent="0.2">
      <c r="E309" s="23"/>
    </row>
    <row r="311" spans="1:18" x14ac:dyDescent="0.2">
      <c r="B311" s="4" t="s">
        <v>33</v>
      </c>
      <c r="H311" s="43">
        <f t="shared" ref="H311:N311" si="182">H92</f>
        <v>5705</v>
      </c>
      <c r="I311" s="43">
        <f t="shared" si="182"/>
        <v>6008</v>
      </c>
      <c r="J311" s="43">
        <f t="shared" si="182"/>
        <v>6799</v>
      </c>
      <c r="K311" s="43">
        <f t="shared" si="182"/>
        <v>6931</v>
      </c>
      <c r="L311" s="43">
        <f t="shared" si="182"/>
        <v>8734</v>
      </c>
      <c r="M311" s="43">
        <f t="shared" si="182"/>
        <v>8900.1367604166662</v>
      </c>
      <c r="N311" s="43">
        <f t="shared" si="182"/>
        <v>9903.8016491213621</v>
      </c>
      <c r="O311" s="43">
        <f t="shared" ref="O311:Q311" si="183">O92</f>
        <v>10961.259789307853</v>
      </c>
      <c r="P311" s="43">
        <f t="shared" si="183"/>
        <v>12057.969302534266</v>
      </c>
      <c r="Q311" s="43">
        <f t="shared" si="183"/>
        <v>13221.075067295187</v>
      </c>
    </row>
    <row r="313" spans="1:18" x14ac:dyDescent="0.2">
      <c r="A313" s="4"/>
      <c r="B313" s="4" t="s">
        <v>174</v>
      </c>
      <c r="H313" s="43">
        <f>H93</f>
        <v>883</v>
      </c>
      <c r="I313" s="43">
        <f>I93</f>
        <v>1252</v>
      </c>
      <c r="J313" s="43">
        <f>J93</f>
        <v>1371</v>
      </c>
      <c r="K313" s="43">
        <f>K93</f>
        <v>1371</v>
      </c>
      <c r="L313" s="43">
        <f>L93</f>
        <v>1604</v>
      </c>
      <c r="M313" s="43">
        <f>M311*$E$308</f>
        <v>1780.0273520833334</v>
      </c>
      <c r="N313" s="43">
        <f>N311*$E$308</f>
        <v>1980.7603298242725</v>
      </c>
      <c r="O313" s="43">
        <f t="shared" ref="O313:Q313" si="184">O311*$E$308</f>
        <v>2192.2519578615706</v>
      </c>
      <c r="P313" s="43">
        <f t="shared" si="184"/>
        <v>2411.5938605068532</v>
      </c>
      <c r="Q313" s="43">
        <f t="shared" si="184"/>
        <v>2644.2150134590374</v>
      </c>
    </row>
    <row r="314" spans="1:18" x14ac:dyDescent="0.2">
      <c r="A314" s="4"/>
      <c r="B314" s="4" t="s">
        <v>175</v>
      </c>
      <c r="H314" s="43">
        <f>H166</f>
        <v>183</v>
      </c>
      <c r="I314" s="43">
        <f>I166</f>
        <v>328</v>
      </c>
      <c r="J314" s="43">
        <f>J166</f>
        <v>-426</v>
      </c>
      <c r="K314" s="43">
        <f>K166</f>
        <v>-468</v>
      </c>
      <c r="L314" s="43">
        <f>L166</f>
        <v>-512</v>
      </c>
      <c r="M314" s="43">
        <f>-M315*M311</f>
        <v>-445.00683802083336</v>
      </c>
      <c r="N314" s="43">
        <f>-N315*N311</f>
        <v>-495.19008245606813</v>
      </c>
      <c r="O314" s="43">
        <f t="shared" ref="O314:Q314" si="185">-O315*O311</f>
        <v>-548.06298946539266</v>
      </c>
      <c r="P314" s="43">
        <f t="shared" si="185"/>
        <v>-602.89846512671329</v>
      </c>
      <c r="Q314" s="43">
        <f t="shared" si="185"/>
        <v>-661.05375336475936</v>
      </c>
    </row>
    <row r="315" spans="1:18" s="21" customFormat="1" x14ac:dyDescent="0.2">
      <c r="C315" s="21" t="s">
        <v>155</v>
      </c>
      <c r="F315" s="22"/>
      <c r="G315" s="11"/>
      <c r="H315" s="91">
        <f>-H314/H311</f>
        <v>-3.207712532865907E-2</v>
      </c>
      <c r="I315" s="91">
        <f>-I314/I311</f>
        <v>-5.459387483355526E-2</v>
      </c>
      <c r="J315" s="91">
        <f>-J314/J311</f>
        <v>6.2656272981320787E-2</v>
      </c>
      <c r="K315" s="91">
        <f>-K314/K311</f>
        <v>6.7522723993651709E-2</v>
      </c>
      <c r="L315" s="91">
        <f>-L314/L311</f>
        <v>5.8621479276391115E-2</v>
      </c>
      <c r="M315" s="91">
        <f>Assumptions!$G$24</f>
        <v>0.05</v>
      </c>
      <c r="N315" s="91">
        <f>Assumptions!$G$24</f>
        <v>0.05</v>
      </c>
      <c r="O315" s="91">
        <f>Assumptions!$G$24</f>
        <v>0.05</v>
      </c>
      <c r="P315" s="91">
        <f>Assumptions!$G$24</f>
        <v>0.05</v>
      </c>
      <c r="Q315" s="91">
        <f>Assumptions!$G$24</f>
        <v>0.05</v>
      </c>
    </row>
    <row r="316" spans="1:18" x14ac:dyDescent="0.2">
      <c r="A316" s="4"/>
      <c r="B316" s="4" t="s">
        <v>172</v>
      </c>
      <c r="H316" s="43">
        <f>H168</f>
        <v>2</v>
      </c>
      <c r="I316" s="43">
        <f>I168</f>
        <v>19</v>
      </c>
      <c r="J316" s="43">
        <f>J168</f>
        <v>-11</v>
      </c>
      <c r="K316" s="43">
        <f>K168</f>
        <v>68</v>
      </c>
      <c r="L316" s="43">
        <f>L168</f>
        <v>-45</v>
      </c>
      <c r="M316" s="43">
        <f>Assumptions!$G$25</f>
        <v>0</v>
      </c>
      <c r="N316" s="43">
        <f>Assumptions!$G$25</f>
        <v>0</v>
      </c>
      <c r="O316" s="43">
        <f>Assumptions!$G$25</f>
        <v>0</v>
      </c>
      <c r="P316" s="43">
        <f>Assumptions!$G$25</f>
        <v>0</v>
      </c>
      <c r="Q316" s="43">
        <f>Assumptions!$G$25</f>
        <v>0</v>
      </c>
      <c r="R316" s="43"/>
    </row>
    <row r="317" spans="1:18" x14ac:dyDescent="0.2">
      <c r="A317" s="4"/>
      <c r="B317" s="4" t="s">
        <v>173</v>
      </c>
      <c r="H317" s="44">
        <f>843-(H313-H314-H316)</f>
        <v>145</v>
      </c>
      <c r="I317" s="44">
        <f>778-(I313-I314-I316)</f>
        <v>-127</v>
      </c>
      <c r="J317" s="44">
        <f>1854-(J313-J314-J316)</f>
        <v>46</v>
      </c>
      <c r="K317" s="44">
        <f>1727-(K313-K314-K316)</f>
        <v>-44</v>
      </c>
      <c r="L317" s="44">
        <f>2219-(L313-L314-L316)</f>
        <v>58</v>
      </c>
      <c r="M317" s="46">
        <v>0</v>
      </c>
      <c r="N317" s="46">
        <v>0</v>
      </c>
      <c r="O317" s="46">
        <v>0</v>
      </c>
      <c r="P317" s="46">
        <v>0</v>
      </c>
      <c r="Q317" s="46">
        <v>0</v>
      </c>
    </row>
    <row r="318" spans="1:18" x14ac:dyDescent="0.2">
      <c r="A318" s="4"/>
      <c r="B318" s="4" t="s">
        <v>171</v>
      </c>
      <c r="H318" s="43">
        <f t="shared" ref="H318:K318" si="186">H313-H314-H316+H317</f>
        <v>843</v>
      </c>
      <c r="I318" s="43">
        <f t="shared" si="186"/>
        <v>778</v>
      </c>
      <c r="J318" s="43">
        <f t="shared" si="186"/>
        <v>1854</v>
      </c>
      <c r="K318" s="43">
        <f t="shared" si="186"/>
        <v>1727</v>
      </c>
      <c r="L318" s="43">
        <f>L313-L314-L316+L317</f>
        <v>2219</v>
      </c>
      <c r="M318" s="43">
        <f>M313-M314-M316+M317</f>
        <v>2225.0341901041666</v>
      </c>
      <c r="N318" s="43">
        <f>N313-N314-N316+N317</f>
        <v>2475.9504122803405</v>
      </c>
      <c r="O318" s="43">
        <f t="shared" ref="O318:Q318" si="187">O313-O314-O316+O317</f>
        <v>2740.3149473269632</v>
      </c>
      <c r="P318" s="43">
        <f t="shared" si="187"/>
        <v>3014.4923256335665</v>
      </c>
      <c r="Q318" s="43">
        <f t="shared" si="187"/>
        <v>3305.2687668237968</v>
      </c>
    </row>
    <row r="321" spans="2:17" ht="29" customHeight="1" x14ac:dyDescent="0.2">
      <c r="B321" s="192" t="s">
        <v>176</v>
      </c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</row>
  </sheetData>
  <mergeCells count="3">
    <mergeCell ref="B321:Q321"/>
    <mergeCell ref="B266:Q266"/>
    <mergeCell ref="B238:Q238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1A52-F56E-FE48-977B-E73C3841453B}">
  <dimension ref="B2:N43"/>
  <sheetViews>
    <sheetView showGridLines="0" tabSelected="1" topLeftCell="A3" zoomScale="125" workbookViewId="0">
      <selection activeCell="N9" sqref="N9"/>
    </sheetView>
  </sheetViews>
  <sheetFormatPr baseColWidth="10" defaultRowHeight="14" x14ac:dyDescent="0.2"/>
  <cols>
    <col min="1" max="1" width="4.83203125" style="4" customWidth="1"/>
    <col min="2" max="2" width="10.83203125" style="4"/>
    <col min="3" max="3" width="2.83203125" style="4" customWidth="1"/>
    <col min="4" max="4" width="10.83203125" style="4" customWidth="1"/>
    <col min="5" max="9" width="10.83203125" style="4"/>
    <col min="10" max="10" width="4.83203125" style="4" customWidth="1"/>
    <col min="11" max="16384" width="10.83203125" style="4"/>
  </cols>
  <sheetData>
    <row r="2" spans="2:14" x14ac:dyDescent="0.2">
      <c r="B2" s="8"/>
      <c r="C2" s="8"/>
      <c r="D2" s="8"/>
      <c r="E2" s="8">
        <f>Assumptions!G4</f>
        <v>2026</v>
      </c>
      <c r="F2" s="8">
        <f>E2+1</f>
        <v>2027</v>
      </c>
      <c r="G2" s="8">
        <f t="shared" ref="G2:I2" si="0">F2+1</f>
        <v>2028</v>
      </c>
      <c r="H2" s="8">
        <f t="shared" si="0"/>
        <v>2029</v>
      </c>
      <c r="I2" s="8">
        <f t="shared" si="0"/>
        <v>2030</v>
      </c>
      <c r="K2" s="135" t="s">
        <v>226</v>
      </c>
      <c r="L2" s="133"/>
      <c r="M2" s="133"/>
      <c r="N2" s="134"/>
    </row>
    <row r="3" spans="2:14" x14ac:dyDescent="0.2">
      <c r="B3" s="4" t="s">
        <v>223</v>
      </c>
      <c r="E3" s="43">
        <v>1</v>
      </c>
      <c r="F3" s="43">
        <f>E3+1</f>
        <v>2</v>
      </c>
      <c r="G3" s="43">
        <f t="shared" ref="G3:H3" si="1">F3+1</f>
        <v>3</v>
      </c>
      <c r="H3" s="43">
        <f t="shared" si="1"/>
        <v>4</v>
      </c>
      <c r="I3" s="43">
        <f>H3+1</f>
        <v>5</v>
      </c>
      <c r="K3" s="55"/>
      <c r="N3" s="157"/>
    </row>
    <row r="4" spans="2:14" x14ac:dyDescent="0.2">
      <c r="B4" s="4" t="s">
        <v>32</v>
      </c>
      <c r="E4" s="43">
        <f>Model!M84</f>
        <v>9076.0827604166661</v>
      </c>
      <c r="F4" s="43">
        <f>Model!N84</f>
        <v>10037.5701773125</v>
      </c>
      <c r="G4" s="43">
        <f>Model!O84</f>
        <v>11047.167660855626</v>
      </c>
      <c r="H4" s="43">
        <f>Model!P84</f>
        <v>12061.885778148397</v>
      </c>
      <c r="I4" s="43">
        <f>Model!Q84</f>
        <v>13162.802229547397</v>
      </c>
      <c r="K4" s="55" t="s">
        <v>0</v>
      </c>
      <c r="N4" s="128">
        <v>0.09</v>
      </c>
    </row>
    <row r="5" spans="2:14" x14ac:dyDescent="0.2">
      <c r="B5" s="4" t="s">
        <v>217</v>
      </c>
      <c r="E5" s="44">
        <f>Model!M164</f>
        <v>802.83933333333334</v>
      </c>
      <c r="F5" s="44">
        <f>Model!N164</f>
        <v>750.69493466666665</v>
      </c>
      <c r="G5" s="44">
        <f>Model!O164</f>
        <v>684.97481930399999</v>
      </c>
      <c r="H5" s="44">
        <f>Model!P164</f>
        <v>671.62722468224536</v>
      </c>
      <c r="I5" s="44">
        <f>Model!Q164</f>
        <v>648.60670327101138</v>
      </c>
      <c r="K5" s="55" t="s">
        <v>228</v>
      </c>
      <c r="N5" s="158">
        <v>10</v>
      </c>
    </row>
    <row r="6" spans="2:14" x14ac:dyDescent="0.2">
      <c r="B6" s="10" t="s">
        <v>35</v>
      </c>
      <c r="C6" s="10"/>
      <c r="D6" s="10"/>
      <c r="E6" s="42">
        <f>E4+E5</f>
        <v>9878.9220937499995</v>
      </c>
      <c r="F6" s="42">
        <f t="shared" ref="F6:I6" si="2">F4+F5</f>
        <v>10788.265111979166</v>
      </c>
      <c r="G6" s="42">
        <f t="shared" si="2"/>
        <v>11732.142480159626</v>
      </c>
      <c r="H6" s="42">
        <f t="shared" si="2"/>
        <v>12733.513002830641</v>
      </c>
      <c r="I6" s="42">
        <f t="shared" si="2"/>
        <v>13811.408932818407</v>
      </c>
      <c r="K6" s="55" t="s">
        <v>2</v>
      </c>
      <c r="N6" s="159">
        <v>46311</v>
      </c>
    </row>
    <row r="7" spans="2:14" x14ac:dyDescent="0.2">
      <c r="B7" s="4" t="s">
        <v>218</v>
      </c>
      <c r="E7" s="43">
        <f>E4*Assumptions!$G$5</f>
        <v>1815.2165520833332</v>
      </c>
      <c r="F7" s="43">
        <f>F4*Assumptions!$G$5</f>
        <v>2007.5140354625</v>
      </c>
      <c r="G7" s="43">
        <f>G4*Assumptions!$G$5</f>
        <v>2209.4335321711255</v>
      </c>
      <c r="H7" s="43">
        <f>H4*Assumptions!$G$5</f>
        <v>2412.3771556296792</v>
      </c>
      <c r="I7" s="43">
        <f>I4*Assumptions!$G$5</f>
        <v>2632.5604459094793</v>
      </c>
      <c r="K7" s="55" t="s">
        <v>222</v>
      </c>
      <c r="N7" s="160">
        <v>214.13</v>
      </c>
    </row>
    <row r="8" spans="2:14" x14ac:dyDescent="0.2">
      <c r="B8" s="4" t="s">
        <v>219</v>
      </c>
      <c r="E8" s="43">
        <f>-Model!M174+Model!M175+Model!M176+Model!M177</f>
        <v>120</v>
      </c>
      <c r="F8" s="43">
        <f>-Model!N174+Model!N175+Model!N176+Model!N177</f>
        <v>120</v>
      </c>
      <c r="G8" s="43">
        <f>-Model!O174+Model!O175+Model!O176+Model!O177</f>
        <v>120</v>
      </c>
      <c r="H8" s="43">
        <f>-Model!P174+Model!P175+Model!P176+Model!P177</f>
        <v>120</v>
      </c>
      <c r="I8" s="43">
        <f>-Model!Q174+Model!Q175+Model!Q176+Model!Q177</f>
        <v>120</v>
      </c>
      <c r="K8" s="55" t="s">
        <v>260</v>
      </c>
      <c r="N8" s="130">
        <v>403</v>
      </c>
    </row>
    <row r="9" spans="2:14" x14ac:dyDescent="0.2">
      <c r="B9" s="4" t="s">
        <v>220</v>
      </c>
      <c r="E9" s="44">
        <f>Model!M236</f>
        <v>97.805277240296164</v>
      </c>
      <c r="F9" s="44">
        <f>Model!N236</f>
        <v>663.51949282883197</v>
      </c>
      <c r="G9" s="44">
        <f>Model!O236</f>
        <v>703.21993207940341</v>
      </c>
      <c r="H9" s="44">
        <f>Model!P236</f>
        <v>723.82713460916511</v>
      </c>
      <c r="I9" s="44">
        <f>Model!Q236</f>
        <v>793.98389848397437</v>
      </c>
      <c r="K9" s="55" t="s">
        <v>158</v>
      </c>
      <c r="N9" s="69">
        <f>Model!M111</f>
        <v>5176.7471808861301</v>
      </c>
    </row>
    <row r="10" spans="2:14" x14ac:dyDescent="0.2">
      <c r="B10" s="4" t="s">
        <v>221</v>
      </c>
      <c r="E10" s="43">
        <f>E6-E7-E8-E9</f>
        <v>7845.9002644263701</v>
      </c>
      <c r="F10" s="43">
        <f t="shared" ref="F10:I10" si="3">F6-F7-F8-F9</f>
        <v>7997.2315836878342</v>
      </c>
      <c r="G10" s="43">
        <f t="shared" si="3"/>
        <v>8699.4890159090974</v>
      </c>
      <c r="H10" s="43">
        <f t="shared" si="3"/>
        <v>9477.3087125917955</v>
      </c>
      <c r="I10" s="43">
        <f t="shared" si="3"/>
        <v>10264.864588424953</v>
      </c>
      <c r="K10" s="56" t="s">
        <v>163</v>
      </c>
      <c r="L10" s="15"/>
      <c r="M10" s="15"/>
      <c r="N10" s="70">
        <f>Model!M126+Model!M132</f>
        <v>4860</v>
      </c>
    </row>
    <row r="11" spans="2:14" x14ac:dyDescent="0.2">
      <c r="B11" s="4" t="s">
        <v>224</v>
      </c>
      <c r="E11" s="43">
        <f>E10/(1+$N$4)^E3</f>
        <v>7198.0736370884124</v>
      </c>
      <c r="F11" s="43">
        <f>F10/(1+$N$4)^F3</f>
        <v>6731.1098255094967</v>
      </c>
      <c r="G11" s="43">
        <f>G10/(1+$N$4)^G3</f>
        <v>6717.6017030576886</v>
      </c>
      <c r="H11" s="43">
        <f>H10/(1+$N$4)^H3</f>
        <v>6713.9644250478677</v>
      </c>
      <c r="I11" s="43">
        <f>I10/(1+$N$4)^I3</f>
        <v>6671.4576721198227</v>
      </c>
    </row>
    <row r="12" spans="2:14" x14ac:dyDescent="0.2">
      <c r="B12" s="75" t="s">
        <v>225</v>
      </c>
      <c r="C12" s="76"/>
      <c r="D12" s="76"/>
      <c r="E12" s="76"/>
      <c r="F12" s="76"/>
      <c r="G12" s="76"/>
      <c r="H12" s="76"/>
      <c r="I12" s="77">
        <f>SUM(E11:I11)</f>
        <v>34032.207262823285</v>
      </c>
    </row>
    <row r="14" spans="2:14" x14ac:dyDescent="0.2">
      <c r="B14" s="8" t="s">
        <v>242</v>
      </c>
      <c r="C14" s="125"/>
      <c r="D14" s="125"/>
      <c r="E14" s="125"/>
      <c r="G14" s="8" t="s">
        <v>237</v>
      </c>
      <c r="H14" s="125"/>
      <c r="I14" s="125"/>
    </row>
    <row r="15" spans="2:14" x14ac:dyDescent="0.2">
      <c r="E15" s="124" t="s">
        <v>6</v>
      </c>
      <c r="I15" s="124" t="s">
        <v>6</v>
      </c>
    </row>
    <row r="16" spans="2:14" x14ac:dyDescent="0.2">
      <c r="B16" s="4" t="s">
        <v>227</v>
      </c>
      <c r="E16" s="43">
        <f>E6*N5</f>
        <v>98789.220937499995</v>
      </c>
      <c r="G16" s="4" t="s">
        <v>238</v>
      </c>
      <c r="I16" s="43">
        <f>N8*N7</f>
        <v>86294.39</v>
      </c>
    </row>
    <row r="17" spans="2:14" x14ac:dyDescent="0.2">
      <c r="B17" s="15" t="s">
        <v>229</v>
      </c>
      <c r="C17" s="15"/>
      <c r="D17" s="15"/>
      <c r="E17" s="44">
        <f>E16/(1+$N$4)^I3</f>
        <v>64206.215315242887</v>
      </c>
      <c r="G17" s="4" t="s">
        <v>239</v>
      </c>
      <c r="I17" s="43">
        <f>N10</f>
        <v>4860</v>
      </c>
    </row>
    <row r="18" spans="2:14" x14ac:dyDescent="0.2">
      <c r="B18" s="10" t="s">
        <v>230</v>
      </c>
      <c r="C18" s="10"/>
      <c r="D18" s="10"/>
      <c r="E18" s="42">
        <f>E17+I12</f>
        <v>98238.42257806618</v>
      </c>
      <c r="G18" s="15" t="s">
        <v>240</v>
      </c>
      <c r="H18" s="15"/>
      <c r="I18" s="44">
        <f>N9</f>
        <v>5176.7471808861301</v>
      </c>
    </row>
    <row r="19" spans="2:14" x14ac:dyDescent="0.2">
      <c r="B19" s="4" t="s">
        <v>231</v>
      </c>
      <c r="E19" s="43">
        <f>N9</f>
        <v>5176.7471808861301</v>
      </c>
      <c r="G19" s="10" t="s">
        <v>241</v>
      </c>
      <c r="H19" s="10"/>
      <c r="I19" s="42">
        <f>I16+I17-I18</f>
        <v>85977.642819113869</v>
      </c>
    </row>
    <row r="20" spans="2:14" x14ac:dyDescent="0.2">
      <c r="B20" s="15" t="s">
        <v>232</v>
      </c>
      <c r="C20" s="15"/>
      <c r="D20" s="15"/>
      <c r="E20" s="44">
        <f>N10</f>
        <v>4860</v>
      </c>
    </row>
    <row r="21" spans="2:14" x14ac:dyDescent="0.2">
      <c r="B21" s="4" t="s">
        <v>233</v>
      </c>
      <c r="E21" s="43">
        <f>E18+E19-E20</f>
        <v>98555.16975895231</v>
      </c>
      <c r="G21" s="8" t="s">
        <v>236</v>
      </c>
      <c r="H21" s="125"/>
      <c r="I21" s="125"/>
    </row>
    <row r="22" spans="2:14" x14ac:dyDescent="0.2">
      <c r="B22" s="15" t="s">
        <v>234</v>
      </c>
      <c r="C22" s="15"/>
      <c r="D22" s="15"/>
      <c r="E22" s="44">
        <f>N8</f>
        <v>403</v>
      </c>
      <c r="G22" s="4" t="s">
        <v>237</v>
      </c>
      <c r="I22" s="126">
        <f>N7</f>
        <v>214.13</v>
      </c>
    </row>
    <row r="23" spans="2:14" x14ac:dyDescent="0.2">
      <c r="B23" s="10" t="s">
        <v>235</v>
      </c>
      <c r="C23" s="10"/>
      <c r="D23" s="10"/>
      <c r="E23" s="162">
        <f>E21/E22</f>
        <v>244.55377111402558</v>
      </c>
      <c r="G23" s="4" t="s">
        <v>256</v>
      </c>
      <c r="I23" s="126">
        <f>I24-I22</f>
        <v>30.423771114025584</v>
      </c>
    </row>
    <row r="24" spans="2:14" x14ac:dyDescent="0.2">
      <c r="B24" s="4" t="s">
        <v>243</v>
      </c>
      <c r="E24" s="14">
        <f>(E23-N7)/N7</f>
        <v>0.14208084394538636</v>
      </c>
      <c r="G24" s="4" t="s">
        <v>242</v>
      </c>
      <c r="H24" s="10"/>
      <c r="I24" s="126">
        <f>E23</f>
        <v>244.55377111402558</v>
      </c>
    </row>
    <row r="25" spans="2:14" ht="15" thickBot="1" x14ac:dyDescent="0.25"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</row>
    <row r="26" spans="2:14" ht="15" thickTop="1" x14ac:dyDescent="0.2"/>
    <row r="27" spans="2:14" ht="15" thickBot="1" x14ac:dyDescent="0.25">
      <c r="D27" s="149" t="s">
        <v>241</v>
      </c>
      <c r="E27" s="149"/>
      <c r="F27" s="149"/>
      <c r="G27" s="149"/>
      <c r="H27" s="149"/>
      <c r="I27" s="149"/>
    </row>
    <row r="28" spans="2:14" x14ac:dyDescent="0.2">
      <c r="D28" s="15"/>
      <c r="E28" s="6" t="s">
        <v>227</v>
      </c>
      <c r="F28" s="6"/>
      <c r="G28" s="6"/>
      <c r="H28" s="6"/>
      <c r="I28" s="6"/>
      <c r="K28" s="8" t="s">
        <v>245</v>
      </c>
      <c r="L28" s="125"/>
    </row>
    <row r="29" spans="2:14" x14ac:dyDescent="0.2">
      <c r="C29" s="150" t="s">
        <v>248</v>
      </c>
      <c r="D29" s="74">
        <f>E18</f>
        <v>98238.42257806618</v>
      </c>
      <c r="E29" s="148">
        <f>F29-$L$29</f>
        <v>8</v>
      </c>
      <c r="F29" s="147">
        <f>G29-$L$29</f>
        <v>9</v>
      </c>
      <c r="G29" s="143">
        <v>10</v>
      </c>
      <c r="H29" s="147">
        <f>G29+$L$29</f>
        <v>11</v>
      </c>
      <c r="I29" s="147">
        <f>H29+$L$29</f>
        <v>12</v>
      </c>
      <c r="K29" s="139" t="s">
        <v>246</v>
      </c>
      <c r="L29" s="141">
        <v>1</v>
      </c>
    </row>
    <row r="30" spans="2:14" x14ac:dyDescent="0.2">
      <c r="D30" s="144">
        <f>D31-$L$30</f>
        <v>7.9999999999999988E-2</v>
      </c>
      <c r="E30" s="43">
        <f t="dataTable" ref="E30:I34" dt2D="1" dtr="1" r1="N5" r2="N4" ca="1"/>
        <v>88766.620661055727</v>
      </c>
      <c r="F30" s="43">
        <v>95490.049042867497</v>
      </c>
      <c r="G30" s="43">
        <v>102213.47742467924</v>
      </c>
      <c r="H30" s="43">
        <v>108936.90580649098</v>
      </c>
      <c r="I30" s="43">
        <v>115660.33418830275</v>
      </c>
      <c r="K30" s="140" t="s">
        <v>247</v>
      </c>
      <c r="L30" s="142">
        <v>5.0000000000000001E-3</v>
      </c>
    </row>
    <row r="31" spans="2:14" x14ac:dyDescent="0.2">
      <c r="D31" s="145">
        <f>D32-$L$30</f>
        <v>8.4999999999999992E-2</v>
      </c>
      <c r="E31" s="43">
        <v>87060.074404667015</v>
      </c>
      <c r="F31" s="43">
        <v>93630.00633013848</v>
      </c>
      <c r="G31" s="43">
        <v>100199.93825560993</v>
      </c>
      <c r="H31" s="43">
        <v>106769.87018108138</v>
      </c>
      <c r="I31" s="43">
        <v>113339.80210655284</v>
      </c>
    </row>
    <row r="32" spans="2:14" x14ac:dyDescent="0.2">
      <c r="C32" s="123" t="s">
        <v>249</v>
      </c>
      <c r="D32" s="146">
        <v>0.09</v>
      </c>
      <c r="E32" s="43">
        <v>85397.179515017604</v>
      </c>
      <c r="F32" s="43">
        <v>91817.801046541892</v>
      </c>
      <c r="G32" s="42">
        <v>98238.42257806618</v>
      </c>
      <c r="H32" s="43">
        <v>104659.04410959045</v>
      </c>
      <c r="I32" s="43">
        <v>111079.66564111476</v>
      </c>
    </row>
    <row r="33" spans="3:9" x14ac:dyDescent="0.2">
      <c r="D33" s="145">
        <f>D32+$L$30</f>
        <v>9.5000000000000001E-2</v>
      </c>
      <c r="E33" s="43">
        <v>83776.599098936567</v>
      </c>
      <c r="F33" s="43">
        <v>90051.963716050785</v>
      </c>
      <c r="G33" s="43">
        <v>96327.328333164987</v>
      </c>
      <c r="H33" s="43">
        <v>102602.69295027919</v>
      </c>
      <c r="I33" s="43">
        <v>108878.05756739341</v>
      </c>
    </row>
    <row r="34" spans="3:9" x14ac:dyDescent="0.2">
      <c r="D34" s="145">
        <f>D33+$L$30</f>
        <v>0.1</v>
      </c>
      <c r="E34" s="43">
        <v>82197.043449938865</v>
      </c>
      <c r="F34" s="43">
        <v>88331.076826788441</v>
      </c>
      <c r="G34" s="43">
        <v>94465.110203638003</v>
      </c>
      <c r="H34" s="43">
        <v>100599.14358048755</v>
      </c>
      <c r="I34" s="43">
        <v>106733.17695733713</v>
      </c>
    </row>
    <row r="36" spans="3:9" ht="15" thickBot="1" x14ac:dyDescent="0.25">
      <c r="D36" s="149" t="s">
        <v>235</v>
      </c>
      <c r="E36" s="149"/>
      <c r="F36" s="149"/>
      <c r="G36" s="149"/>
      <c r="H36" s="149"/>
      <c r="I36" s="149"/>
    </row>
    <row r="37" spans="3:9" x14ac:dyDescent="0.2">
      <c r="C37" s="15"/>
      <c r="D37" s="15"/>
      <c r="E37" s="6" t="s">
        <v>227</v>
      </c>
      <c r="F37" s="6"/>
      <c r="G37" s="6"/>
      <c r="H37" s="6"/>
      <c r="I37" s="6"/>
    </row>
    <row r="38" spans="3:9" x14ac:dyDescent="0.2">
      <c r="C38" s="151" t="s">
        <v>77</v>
      </c>
      <c r="D38" s="163">
        <f>E23</f>
        <v>244.55377111402558</v>
      </c>
      <c r="E38" s="148">
        <f>F38-$L$29</f>
        <v>8</v>
      </c>
      <c r="F38" s="147">
        <f>G38-$L$29</f>
        <v>9</v>
      </c>
      <c r="G38" s="143">
        <v>10</v>
      </c>
      <c r="H38" s="147">
        <f>G38+$L$29</f>
        <v>11</v>
      </c>
      <c r="I38" s="147">
        <f>H38+$L$29</f>
        <v>12</v>
      </c>
    </row>
    <row r="39" spans="3:9" x14ac:dyDescent="0.2">
      <c r="D39" s="144">
        <f>D40-$L$30</f>
        <v>7.9999999999999988E-2</v>
      </c>
      <c r="E39" s="62">
        <f t="dataTable" ref="E39:I43" dt2D="1" dtr="1" r1="N5" r2="N4"/>
        <v>221.05054055072421</v>
      </c>
      <c r="F39" s="62">
        <v>237.73398566688246</v>
      </c>
      <c r="G39" s="62">
        <v>254.4174307830406</v>
      </c>
      <c r="H39" s="62">
        <v>271.1008758991988</v>
      </c>
      <c r="I39" s="62">
        <v>287.78432101535702</v>
      </c>
    </row>
    <row r="40" spans="3:9" x14ac:dyDescent="0.2">
      <c r="D40" s="145">
        <f>D41-$L$30</f>
        <v>8.4999999999999992E-2</v>
      </c>
      <c r="E40" s="62">
        <v>216.81593445546687</v>
      </c>
      <c r="F40" s="62">
        <v>233.11849506457719</v>
      </c>
      <c r="G40" s="62">
        <v>249.4210556736875</v>
      </c>
      <c r="H40" s="62">
        <v>265.72361628279776</v>
      </c>
      <c r="I40" s="62">
        <v>282.02617689190811</v>
      </c>
    </row>
    <row r="41" spans="3:9" x14ac:dyDescent="0.2">
      <c r="C41" s="123" t="s">
        <v>249</v>
      </c>
      <c r="D41" s="146">
        <v>0.09</v>
      </c>
      <c r="E41" s="62">
        <v>212.68964440670902</v>
      </c>
      <c r="F41" s="62">
        <v>228.62170776036729</v>
      </c>
      <c r="G41" s="92">
        <v>244.55377111402558</v>
      </c>
      <c r="H41" s="62">
        <v>260.48583446768384</v>
      </c>
      <c r="I41" s="62">
        <v>276.41789782134214</v>
      </c>
    </row>
    <row r="42" spans="3:9" x14ac:dyDescent="0.2">
      <c r="D42" s="145">
        <f>D41+$L$30</f>
        <v>9.5000000000000001E-2</v>
      </c>
      <c r="E42" s="62">
        <v>208.66835305166921</v>
      </c>
      <c r="F42" s="62">
        <v>224.23997741175413</v>
      </c>
      <c r="G42" s="62">
        <v>239.81160177183901</v>
      </c>
      <c r="H42" s="62">
        <v>255.38322613192386</v>
      </c>
      <c r="I42" s="62">
        <v>270.9548504920088</v>
      </c>
    </row>
    <row r="43" spans="3:9" x14ac:dyDescent="0.2">
      <c r="D43" s="145">
        <f>D42+$L$30</f>
        <v>0.1</v>
      </c>
      <c r="E43" s="62">
        <v>204.74886012611663</v>
      </c>
      <c r="F43" s="62">
        <v>219.96978661953989</v>
      </c>
      <c r="G43" s="62">
        <v>235.19071311296312</v>
      </c>
      <c r="H43" s="62">
        <v>250.4116396063863</v>
      </c>
      <c r="I43" s="62">
        <v>265.63256609980959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769D-010B-EC4F-BE3C-0561683AAD9C}">
  <dimension ref="B1:N30"/>
  <sheetViews>
    <sheetView showGridLines="0" zoomScale="125" zoomScaleNormal="110" workbookViewId="0">
      <selection activeCell="J22" sqref="J22"/>
    </sheetView>
  </sheetViews>
  <sheetFormatPr baseColWidth="10" defaultRowHeight="14" x14ac:dyDescent="0.2"/>
  <cols>
    <col min="1" max="1" width="4.83203125" style="4" customWidth="1"/>
    <col min="2" max="3" width="2.83203125" style="4" customWidth="1"/>
    <col min="4" max="4" width="7.33203125" style="4" customWidth="1"/>
    <col min="5" max="5" width="14.33203125" style="4" customWidth="1"/>
    <col min="6" max="6" width="1.1640625" style="19" customWidth="1"/>
    <col min="7" max="7" width="2.83203125" style="19" customWidth="1"/>
    <col min="8" max="8" width="4.83203125" style="5" customWidth="1"/>
    <col min="9" max="13" width="9.83203125" style="4" customWidth="1"/>
    <col min="14" max="16384" width="10.83203125" style="4"/>
  </cols>
  <sheetData>
    <row r="1" spans="2:14" ht="25" x14ac:dyDescent="0.3">
      <c r="B1" s="27" t="str">
        <f>COVER!B8</f>
        <v>Adobe Inc.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2:14" ht="19" thickBot="1" x14ac:dyDescent="0.3">
      <c r="B2" s="29" t="s">
        <v>15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2:14" ht="8" customHeight="1" x14ac:dyDescent="0.25">
      <c r="B3" s="30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2:14" ht="8" customHeight="1" x14ac:dyDescent="0.2">
      <c r="B4" s="31"/>
      <c r="C4" s="32"/>
      <c r="D4" s="32"/>
      <c r="E4" s="32"/>
      <c r="F4" s="33"/>
    </row>
    <row r="5" spans="2:14" x14ac:dyDescent="0.2">
      <c r="B5" s="34" t="s">
        <v>16</v>
      </c>
      <c r="E5" s="4">
        <v>1</v>
      </c>
      <c r="F5" s="35"/>
      <c r="I5" s="9">
        <f>Assumptions!$G$4</f>
        <v>2026</v>
      </c>
      <c r="J5" s="9">
        <f>I5+1</f>
        <v>2027</v>
      </c>
      <c r="K5" s="9">
        <f>J5+1</f>
        <v>2028</v>
      </c>
      <c r="L5" s="9">
        <f>K5+1</f>
        <v>2029</v>
      </c>
      <c r="M5" s="9">
        <f>L5+1</f>
        <v>2030</v>
      </c>
    </row>
    <row r="6" spans="2:14" ht="8" customHeight="1" x14ac:dyDescent="0.2">
      <c r="B6" s="36"/>
      <c r="C6" s="37"/>
      <c r="D6" s="15"/>
      <c r="E6" s="15"/>
      <c r="F6" s="38"/>
    </row>
    <row r="7" spans="2:14" ht="2" customHeight="1" x14ac:dyDescent="0.2">
      <c r="D7" s="21"/>
      <c r="I7" s="14"/>
      <c r="J7" s="14"/>
      <c r="K7" s="14"/>
      <c r="L7" s="14"/>
      <c r="M7" s="14"/>
    </row>
    <row r="8" spans="2:14" x14ac:dyDescent="0.2">
      <c r="B8" s="10" t="s">
        <v>185</v>
      </c>
      <c r="F8" s="4"/>
      <c r="G8" s="4"/>
      <c r="H8" s="4"/>
    </row>
    <row r="9" spans="2:14" x14ac:dyDescent="0.2">
      <c r="C9" s="4" t="s">
        <v>99</v>
      </c>
      <c r="F9" s="4"/>
      <c r="G9" s="4"/>
      <c r="H9" s="4"/>
      <c r="I9" s="120">
        <f>CHOOSE($E$5,I11,I12,I13)</f>
        <v>0.1</v>
      </c>
      <c r="J9" s="118">
        <f t="shared" ref="J9:M9" si="0">CHOOSE($E$5,J11,J12,J13)</f>
        <v>9.8000000000000004E-2</v>
      </c>
      <c r="K9" s="118">
        <f t="shared" si="0"/>
        <v>9.5000000000000001E-2</v>
      </c>
      <c r="L9" s="118">
        <f t="shared" si="0"/>
        <v>9.2999999999999999E-2</v>
      </c>
      <c r="M9" s="119">
        <f t="shared" si="0"/>
        <v>9.1999999999999998E-2</v>
      </c>
    </row>
    <row r="10" spans="2:14" ht="2" customHeight="1" x14ac:dyDescent="0.2"/>
    <row r="11" spans="2:14" s="10" customFormat="1" x14ac:dyDescent="0.2">
      <c r="B11" s="4"/>
      <c r="C11" s="4"/>
      <c r="D11" s="4" t="s">
        <v>186</v>
      </c>
      <c r="E11" s="19"/>
      <c r="F11" s="5"/>
      <c r="G11" s="5"/>
      <c r="H11" s="4"/>
      <c r="I11" s="113">
        <v>0.1</v>
      </c>
      <c r="J11" s="114">
        <v>9.8000000000000004E-2</v>
      </c>
      <c r="K11" s="114">
        <v>9.5000000000000001E-2</v>
      </c>
      <c r="L11" s="114">
        <v>9.2999999999999999E-2</v>
      </c>
      <c r="M11" s="115">
        <v>9.1999999999999998E-2</v>
      </c>
      <c r="N11" s="4"/>
    </row>
    <row r="12" spans="2:14" x14ac:dyDescent="0.2">
      <c r="D12" s="4" t="s">
        <v>187</v>
      </c>
      <c r="I12" s="116">
        <v>0.105</v>
      </c>
      <c r="J12" s="24">
        <v>0.1</v>
      </c>
      <c r="K12" s="24">
        <v>9.8000000000000004E-2</v>
      </c>
      <c r="L12" s="24">
        <v>9.8000000000000004E-2</v>
      </c>
      <c r="M12" s="109">
        <v>9.8000000000000004E-2</v>
      </c>
    </row>
    <row r="13" spans="2:14" x14ac:dyDescent="0.2">
      <c r="D13" s="4" t="s">
        <v>188</v>
      </c>
      <c r="I13" s="117">
        <v>0.09</v>
      </c>
      <c r="J13" s="111">
        <v>0.08</v>
      </c>
      <c r="K13" s="111">
        <v>0.08</v>
      </c>
      <c r="L13" s="111">
        <v>7.4999999999999997E-2</v>
      </c>
      <c r="M13" s="112">
        <v>7.0000000000000007E-2</v>
      </c>
    </row>
    <row r="14" spans="2:14" ht="8" customHeight="1" x14ac:dyDescent="0.2"/>
    <row r="15" spans="2:14" x14ac:dyDescent="0.2">
      <c r="C15" s="4" t="s">
        <v>100</v>
      </c>
      <c r="F15" s="4"/>
      <c r="G15" s="4"/>
      <c r="H15" s="4"/>
      <c r="I15" s="120">
        <f>CHOOSE($E$5,I17,I18,I19)</f>
        <v>0.11</v>
      </c>
      <c r="J15" s="118">
        <f t="shared" ref="J15:M15" si="1">CHOOSE($E$5,J17,J18,J19)</f>
        <v>0.11</v>
      </c>
      <c r="K15" s="118">
        <f t="shared" si="1"/>
        <v>0.1</v>
      </c>
      <c r="L15" s="118">
        <f t="shared" si="1"/>
        <v>0.09</v>
      </c>
      <c r="M15" s="119">
        <f t="shared" si="1"/>
        <v>0.09</v>
      </c>
    </row>
    <row r="16" spans="2:14" ht="2" customHeight="1" x14ac:dyDescent="0.2">
      <c r="F16" s="4"/>
      <c r="G16" s="4"/>
      <c r="H16" s="4"/>
    </row>
    <row r="17" spans="4:13" x14ac:dyDescent="0.2">
      <c r="D17" s="4" t="s">
        <v>186</v>
      </c>
      <c r="E17" s="19"/>
      <c r="F17" s="5"/>
      <c r="G17" s="5"/>
      <c r="H17" s="4"/>
      <c r="I17" s="113">
        <v>0.11</v>
      </c>
      <c r="J17" s="114">
        <v>0.11</v>
      </c>
      <c r="K17" s="114">
        <v>0.1</v>
      </c>
      <c r="L17" s="114">
        <v>0.09</v>
      </c>
      <c r="M17" s="115">
        <v>0.09</v>
      </c>
    </row>
    <row r="18" spans="4:13" s="10" customFormat="1" x14ac:dyDescent="0.2">
      <c r="D18" s="4" t="s">
        <v>187</v>
      </c>
      <c r="E18" s="4"/>
      <c r="F18" s="19"/>
      <c r="G18" s="19"/>
      <c r="H18" s="5"/>
      <c r="I18" s="116">
        <v>0.12</v>
      </c>
      <c r="J18" s="24">
        <v>0.11</v>
      </c>
      <c r="K18" s="24">
        <v>0.11</v>
      </c>
      <c r="L18" s="24">
        <v>0.1</v>
      </c>
      <c r="M18" s="109">
        <v>0.1</v>
      </c>
    </row>
    <row r="19" spans="4:13" s="10" customFormat="1" x14ac:dyDescent="0.2">
      <c r="D19" s="4" t="s">
        <v>188</v>
      </c>
      <c r="E19" s="4"/>
      <c r="F19" s="19"/>
      <c r="G19" s="19"/>
      <c r="H19" s="5"/>
      <c r="I19" s="117">
        <v>0.1</v>
      </c>
      <c r="J19" s="111">
        <v>0.1</v>
      </c>
      <c r="K19" s="111">
        <v>0.08</v>
      </c>
      <c r="L19" s="111">
        <v>0.08</v>
      </c>
      <c r="M19" s="112">
        <v>7.0000000000000007E-2</v>
      </c>
    </row>
    <row r="20" spans="4:13" s="10" customFormat="1" ht="8" customHeight="1" x14ac:dyDescent="0.2">
      <c r="D20" s="4"/>
      <c r="E20" s="4"/>
      <c r="F20" s="19"/>
      <c r="G20" s="19"/>
      <c r="H20" s="5"/>
      <c r="I20" s="4"/>
      <c r="J20" s="4"/>
      <c r="K20" s="4"/>
      <c r="L20" s="4"/>
      <c r="M20" s="4"/>
    </row>
    <row r="23" spans="4:13" ht="2" customHeight="1" x14ac:dyDescent="0.2"/>
    <row r="27" spans="4:13" ht="8" customHeight="1" x14ac:dyDescent="0.2"/>
    <row r="29" spans="4:13" ht="2" customHeight="1" x14ac:dyDescent="0.2"/>
    <row r="30" spans="4:13" s="10" customFormat="1" x14ac:dyDescent="0.2"/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6" r:id="rId3" name="Drop Down 10">
              <controlPr defaultSize="0" autoLine="0" autoPict="0">
                <anchor moveWithCells="1">
                  <from>
                    <xdr:col>3</xdr:col>
                    <xdr:colOff>533400</xdr:colOff>
                    <xdr:row>4</xdr:row>
                    <xdr:rowOff>12700</xdr:rowOff>
                  </from>
                  <to>
                    <xdr:col>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Summary</vt:lpstr>
      <vt:lpstr>Assumptions</vt:lpstr>
      <vt:lpstr>Model</vt:lpstr>
      <vt:lpstr>DCF</vt:lpstr>
      <vt:lpstr>Scenarios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 Z.</dc:creator>
  <cp:lastModifiedBy>Yiqiu Z.</cp:lastModifiedBy>
  <dcterms:created xsi:type="dcterms:W3CDTF">2026-09-08T13:04:20Z</dcterms:created>
  <dcterms:modified xsi:type="dcterms:W3CDTF">2026-10-29T10:59:06Z</dcterms:modified>
</cp:coreProperties>
</file>