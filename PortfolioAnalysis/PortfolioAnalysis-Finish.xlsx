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yiqiuzheng_macbook/Desktop/jobhunting_Oct2026/PortfolioAnalysis/"/>
    </mc:Choice>
  </mc:AlternateContent>
  <xr:revisionPtr revIDLastSave="0" documentId="13_ncr:1_{CA50CA7E-052D-1240-8FE6-13AFB192754B}" xr6:coauthVersionLast="47" xr6:coauthVersionMax="47" xr10:uidLastSave="{00000000-0000-0000-0000-000000000000}"/>
  <bookViews>
    <workbookView xWindow="4440" yWindow="1800" windowWidth="24960" windowHeight="14860" activeTab="2" xr2:uid="{C00738CD-D20A-4341-B74E-4C36E87358D7}"/>
  </bookViews>
  <sheets>
    <sheet name="COVER" sheetId="6" r:id="rId1"/>
    <sheet name="Dashboard" sheetId="1" r:id="rId2"/>
    <sheet name="Holdings" sheetId="2" r:id="rId3"/>
    <sheet name="Holdings - ordered by weight" sheetId="8" r:id="rId4"/>
    <sheet name="Prices" sheetId="3" r:id="rId5"/>
    <sheet name="Returns" sheetId="5" r:id="rId6"/>
  </sheets>
  <definedNames>
    <definedName name="E：GM">Returns!$K$1</definedName>
    <definedName name="_xlnm.Print_Area" localSheetId="0">COVER!$A$4:$K$28</definedName>
    <definedName name="_xlnm.Print_Area" localSheetId="1">Dashboard!$A$1:$M$33</definedName>
    <definedName name="_xlnm.Print_Area" localSheetId="2">Holdings!$B$1:$I$18</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2" l="1" a="1"/>
  <c r="B16" i="2" s="1"/>
  <c r="C16" i="2" a="1"/>
  <c r="C16" i="2" s="1"/>
  <c r="D16" i="2" a="1"/>
  <c r="D16" i="2" s="1"/>
  <c r="F16" i="2" s="1"/>
  <c r="H16" i="2" a="1"/>
  <c r="H16" i="2" s="1"/>
  <c r="I16" i="2" a="1"/>
  <c r="I16" i="2" s="1"/>
  <c r="B11" i="2" l="1" a="1"/>
  <c r="B11" i="2" s="1"/>
  <c r="C11" i="2" a="1"/>
  <c r="C11" i="2" s="1"/>
  <c r="D11" i="2" a="1"/>
  <c r="D11" i="2" s="1"/>
  <c r="F11" i="2" s="1"/>
  <c r="H11" i="2" a="1"/>
  <c r="H11" i="2" s="1"/>
  <c r="I11" i="2" a="1"/>
  <c r="I11" i="2" s="1"/>
  <c r="G2" i="5"/>
  <c r="B18" i="2" l="1" a="1"/>
  <c r="B18" i="2" s="1"/>
  <c r="C18" i="2" a="1"/>
  <c r="C18" i="2" s="1"/>
  <c r="D18" i="2" a="1"/>
  <c r="D18" i="2" s="1"/>
  <c r="F18" i="2" s="1"/>
  <c r="H18" i="2" a="1"/>
  <c r="H18" i="2" s="1"/>
  <c r="I18" i="2" a="1"/>
  <c r="I18" i="2" s="1"/>
  <c r="D2" i="5" l="1"/>
  <c r="E2" i="5" s="1"/>
  <c r="C9" i="2" a="1"/>
  <c r="C9" i="2" s="1"/>
  <c r="AB2" i="5" l="1" a="1"/>
  <c r="AB2" i="5" s="1"/>
  <c r="AC2" i="5" a="1"/>
  <c r="AC2" i="5" s="1"/>
  <c r="AD2" i="5" a="1"/>
  <c r="AD2" i="5" s="1"/>
  <c r="AE2" i="5" a="1"/>
  <c r="AE2" i="5" s="1"/>
  <c r="AF2" i="5" a="1"/>
  <c r="AF2" i="5" s="1"/>
  <c r="AG2" i="5" a="1"/>
  <c r="AG2" i="5" s="1"/>
  <c r="AH2" i="5" a="1"/>
  <c r="AH2" i="5" s="1"/>
  <c r="AI2" i="5" a="1"/>
  <c r="AI2" i="5" s="1"/>
  <c r="AJ2" i="5" a="1"/>
  <c r="AJ2" i="5" s="1"/>
  <c r="AK2" i="5" a="1"/>
  <c r="AK2" i="5" s="1"/>
  <c r="AL2" i="5" a="1"/>
  <c r="AL2" i="5" s="1"/>
  <c r="AM2" i="5" a="1"/>
  <c r="AM2" i="5" s="1"/>
  <c r="AN2" i="5" a="1"/>
  <c r="AN2" i="5" s="1"/>
  <c r="AO2" i="5" a="1"/>
  <c r="AO2" i="5" s="1"/>
  <c r="AP2" i="5" a="1"/>
  <c r="AP2" i="5" s="1"/>
  <c r="AQ2" i="5" a="1"/>
  <c r="AQ2" i="5" s="1"/>
  <c r="AR2" i="5" a="1"/>
  <c r="AR2" i="5" s="1"/>
  <c r="AS2" i="5" a="1"/>
  <c r="AS2" i="5" s="1"/>
  <c r="AT2" i="5" a="1"/>
  <c r="AT2" i="5" s="1"/>
  <c r="AU2" i="5" a="1"/>
  <c r="AU2" i="5" s="1"/>
  <c r="AV2" i="5" a="1"/>
  <c r="AV2" i="5" s="1"/>
  <c r="AW2" i="5" a="1"/>
  <c r="AW2" i="5" s="1"/>
  <c r="AX2" i="5" a="1"/>
  <c r="AX2" i="5" s="1"/>
  <c r="AY2" i="5" a="1"/>
  <c r="AY2" i="5" s="1"/>
  <c r="AZ2" i="5" a="1"/>
  <c r="AZ2" i="5" s="1"/>
  <c r="BA2" i="5" a="1"/>
  <c r="BA2" i="5" s="1"/>
  <c r="BB2" i="5" a="1"/>
  <c r="BB2" i="5" s="1"/>
  <c r="BC2" i="5" a="1"/>
  <c r="BC2" i="5" s="1"/>
  <c r="BD2" i="5" a="1"/>
  <c r="BD2" i="5" s="1"/>
  <c r="BE2" i="5" a="1"/>
  <c r="BE2" i="5" s="1"/>
  <c r="BF2" i="5" a="1"/>
  <c r="BF2" i="5" s="1"/>
  <c r="BG2" i="5" a="1"/>
  <c r="BG2" i="5" s="1"/>
  <c r="BH2" i="5" a="1"/>
  <c r="BH2" i="5" s="1"/>
  <c r="BI2" i="5" a="1"/>
  <c r="BI2" i="5" s="1"/>
  <c r="BJ2" i="5" a="1"/>
  <c r="BJ2" i="5" s="1"/>
  <c r="BK2" i="5" a="1"/>
  <c r="BK2" i="5" s="1"/>
  <c r="BL2" i="5" a="1"/>
  <c r="BL2" i="5" s="1"/>
  <c r="BM2" i="5" a="1"/>
  <c r="BM2" i="5" s="1"/>
  <c r="BN2" i="5" a="1"/>
  <c r="BN2" i="5" s="1"/>
  <c r="BO2" i="5" a="1"/>
  <c r="BO2" i="5" s="1"/>
  <c r="BP2" i="5" a="1"/>
  <c r="BP2" i="5" s="1"/>
  <c r="BQ2" i="5" a="1"/>
  <c r="BQ2" i="5" s="1"/>
  <c r="BR2" i="5" a="1"/>
  <c r="BR2" i="5" s="1"/>
  <c r="BS2" i="5" a="1"/>
  <c r="BS2" i="5" s="1"/>
  <c r="BT2" i="5" a="1"/>
  <c r="BT2" i="5" s="1"/>
  <c r="BU2" i="5" a="1"/>
  <c r="BU2" i="5" s="1"/>
  <c r="BV2" i="5" a="1"/>
  <c r="BV2" i="5" s="1"/>
  <c r="BW2" i="5" a="1"/>
  <c r="BW2" i="5" s="1"/>
  <c r="BX2" i="5" a="1"/>
  <c r="BX2" i="5" s="1"/>
  <c r="BY2" i="5" a="1"/>
  <c r="BY2" i="5" s="1"/>
  <c r="BZ2" i="5" a="1"/>
  <c r="BZ2" i="5" s="1"/>
  <c r="CA2" i="5" a="1"/>
  <c r="CA2" i="5" s="1"/>
  <c r="CB2" i="5" a="1"/>
  <c r="CB2" i="5" s="1"/>
  <c r="CC2" i="5" a="1"/>
  <c r="CC2" i="5" s="1"/>
  <c r="CD2" i="5" a="1"/>
  <c r="CD2" i="5" s="1"/>
  <c r="CE2" i="5" a="1"/>
  <c r="CE2" i="5" s="1"/>
  <c r="CF2" i="5" a="1"/>
  <c r="CF2" i="5" s="1"/>
  <c r="CG2" i="5" a="1"/>
  <c r="CG2" i="5" s="1"/>
  <c r="CH2" i="5" a="1"/>
  <c r="CH2" i="5" s="1"/>
  <c r="CI2" i="5" a="1"/>
  <c r="CI2" i="5" s="1"/>
  <c r="CJ2" i="5" a="1"/>
  <c r="CJ2" i="5" s="1"/>
  <c r="CK2" i="5" a="1"/>
  <c r="CK2" i="5" s="1"/>
  <c r="CL2" i="5" a="1"/>
  <c r="CL2" i="5" s="1"/>
  <c r="CM2" i="5" a="1"/>
  <c r="CM2" i="5" s="1"/>
  <c r="CN2" i="5" a="1"/>
  <c r="CN2" i="5" s="1"/>
  <c r="CO2" i="5" a="1"/>
  <c r="CO2" i="5" s="1"/>
  <c r="CP2" i="5" a="1"/>
  <c r="CP2" i="5" s="1"/>
  <c r="CQ2" i="5" a="1"/>
  <c r="CQ2" i="5" s="1"/>
  <c r="CR2" i="5" a="1"/>
  <c r="CR2" i="5" s="1"/>
  <c r="CS2" i="5" a="1"/>
  <c r="CS2" i="5" s="1"/>
  <c r="CT2" i="5" a="1"/>
  <c r="CT2" i="5" s="1"/>
  <c r="CU2" i="5" a="1"/>
  <c r="CU2" i="5" s="1"/>
  <c r="CV2" i="5" a="1"/>
  <c r="CV2" i="5" s="1"/>
  <c r="CW2" i="5" a="1"/>
  <c r="CW2" i="5" s="1"/>
  <c r="CX2" i="5" a="1"/>
  <c r="CX2" i="5" s="1"/>
  <c r="CY2" i="5" a="1"/>
  <c r="CY2" i="5" s="1"/>
  <c r="CZ2" i="5" a="1"/>
  <c r="CZ2" i="5" s="1"/>
  <c r="DA2" i="5" a="1"/>
  <c r="DA2" i="5" s="1"/>
  <c r="DB2" i="5" a="1"/>
  <c r="DB2" i="5" s="1"/>
  <c r="DC2" i="5" a="1"/>
  <c r="DC2" i="5" s="1"/>
  <c r="DD2" i="5" a="1"/>
  <c r="DD2" i="5" s="1"/>
  <c r="DE2" i="5" a="1"/>
  <c r="DE2" i="5" s="1"/>
  <c r="DF2" i="5" a="1"/>
  <c r="DF2" i="5" s="1"/>
  <c r="DG2" i="5" a="1"/>
  <c r="DG2" i="5" s="1"/>
  <c r="DH2" i="5" a="1"/>
  <c r="DH2" i="5" s="1"/>
  <c r="DI2" i="5" a="1"/>
  <c r="DI2" i="5" s="1"/>
  <c r="DJ2" i="5" a="1"/>
  <c r="DJ2" i="5" s="1"/>
  <c r="DK2" i="5" a="1"/>
  <c r="DK2" i="5" s="1"/>
  <c r="DL2" i="5" a="1"/>
  <c r="DL2" i="5" s="1"/>
  <c r="DM2" i="5" a="1"/>
  <c r="DM2" i="5" s="1"/>
  <c r="DN2" i="5" a="1"/>
  <c r="DN2" i="5" s="1"/>
  <c r="DO2" i="5" a="1"/>
  <c r="DO2" i="5" s="1"/>
  <c r="DP2" i="5" a="1"/>
  <c r="DP2" i="5" s="1"/>
  <c r="DQ2" i="5" a="1"/>
  <c r="DQ2" i="5" s="1"/>
  <c r="DR2" i="5" a="1"/>
  <c r="DR2" i="5" s="1"/>
  <c r="DS2" i="5" a="1"/>
  <c r="DS2" i="5" s="1"/>
  <c r="DT2" i="5" a="1"/>
  <c r="DT2" i="5" s="1"/>
  <c r="DU2" i="5" a="1"/>
  <c r="DU2" i="5" s="1"/>
  <c r="DV2" i="5" a="1"/>
  <c r="DV2" i="5" s="1"/>
  <c r="DW2" i="5" a="1"/>
  <c r="DW2" i="5" s="1"/>
  <c r="DX2" i="5" a="1"/>
  <c r="DX2" i="5" s="1"/>
  <c r="DY2" i="5" a="1"/>
  <c r="DY2" i="5" s="1"/>
  <c r="DZ2" i="5" a="1"/>
  <c r="DZ2" i="5" s="1"/>
  <c r="EA2" i="5" a="1"/>
  <c r="EA2" i="5" s="1"/>
  <c r="EB2" i="5" a="1"/>
  <c r="EB2" i="5" s="1"/>
  <c r="EC2" i="5" a="1"/>
  <c r="EC2" i="5" s="1"/>
  <c r="ED2" i="5" a="1"/>
  <c r="ED2" i="5" s="1"/>
  <c r="EE2" i="5" a="1"/>
  <c r="EE2" i="5" s="1"/>
  <c r="EF2" i="5" a="1"/>
  <c r="EF2" i="5" s="1"/>
  <c r="EG2" i="5" a="1"/>
  <c r="EG2" i="5" s="1"/>
  <c r="EH2" i="5" a="1"/>
  <c r="EH2" i="5" s="1"/>
  <c r="EI2" i="5" a="1"/>
  <c r="EI2" i="5" s="1"/>
  <c r="EJ2" i="5" a="1"/>
  <c r="EJ2" i="5" s="1"/>
  <c r="EK2" i="5" a="1"/>
  <c r="EK2" i="5" s="1"/>
  <c r="EL2" i="5" a="1"/>
  <c r="EL2" i="5" s="1"/>
  <c r="EM2" i="5" a="1"/>
  <c r="EM2" i="5" s="1"/>
  <c r="EN2" i="5" a="1"/>
  <c r="EN2" i="5" s="1"/>
  <c r="EO2" i="5" a="1"/>
  <c r="EO2" i="5" s="1"/>
  <c r="EP2" i="5" a="1"/>
  <c r="EP2" i="5" s="1"/>
  <c r="EQ2" i="5" a="1"/>
  <c r="EQ2" i="5" s="1"/>
  <c r="ER2" i="5" a="1"/>
  <c r="ER2" i="5" s="1"/>
  <c r="ES2" i="5" a="1"/>
  <c r="ES2" i="5" s="1"/>
  <c r="ET2" i="5" a="1"/>
  <c r="ET2" i="5" s="1"/>
  <c r="EU2" i="5" a="1"/>
  <c r="EU2" i="5" s="1"/>
  <c r="EV2" i="5" a="1"/>
  <c r="EV2" i="5" s="1"/>
  <c r="EW2" i="5" a="1"/>
  <c r="EW2" i="5" s="1"/>
  <c r="EX2" i="5" a="1"/>
  <c r="EX2" i="5" s="1"/>
  <c r="EY2" i="5" a="1"/>
  <c r="EY2" i="5" s="1"/>
  <c r="EZ2" i="5" a="1"/>
  <c r="EZ2" i="5" s="1"/>
  <c r="FA2" i="5" a="1"/>
  <c r="FA2" i="5" s="1"/>
  <c r="FB2" i="5" a="1"/>
  <c r="FB2" i="5" s="1"/>
  <c r="FC2" i="5" a="1"/>
  <c r="FC2" i="5" s="1"/>
  <c r="FD2" i="5" a="1"/>
  <c r="FD2" i="5" s="1"/>
  <c r="FE2" i="5" a="1"/>
  <c r="FE2" i="5" s="1"/>
  <c r="FF2" i="5" a="1"/>
  <c r="FF2" i="5" s="1"/>
  <c r="FG2" i="5" a="1"/>
  <c r="FG2" i="5" s="1"/>
  <c r="FH2" i="5" a="1"/>
  <c r="FH2" i="5" s="1"/>
  <c r="FI2" i="5" a="1"/>
  <c r="FI2" i="5" s="1"/>
  <c r="FJ2" i="5" a="1"/>
  <c r="FJ2" i="5" s="1"/>
  <c r="FK2" i="5" a="1"/>
  <c r="FK2" i="5" s="1"/>
  <c r="FL2" i="5" a="1"/>
  <c r="FL2" i="5" s="1"/>
  <c r="FM2" i="5" a="1"/>
  <c r="FM2" i="5" s="1"/>
  <c r="FN2" i="5" a="1"/>
  <c r="FN2" i="5" s="1"/>
  <c r="FO2" i="5" a="1"/>
  <c r="FO2" i="5" s="1"/>
  <c r="FP2" i="5" a="1"/>
  <c r="FP2" i="5" s="1"/>
  <c r="FQ2" i="5" a="1"/>
  <c r="FQ2" i="5" s="1"/>
  <c r="FR2" i="5" a="1"/>
  <c r="FR2" i="5" s="1"/>
  <c r="FS2" i="5" a="1"/>
  <c r="FS2" i="5" s="1"/>
  <c r="FT2" i="5" a="1"/>
  <c r="FT2" i="5" s="1"/>
  <c r="FU2" i="5" a="1"/>
  <c r="FU2" i="5" s="1"/>
  <c r="FV2" i="5" a="1"/>
  <c r="FV2" i="5" s="1"/>
  <c r="FW2" i="5" a="1"/>
  <c r="FW2" i="5" s="1"/>
  <c r="FX2" i="5" a="1"/>
  <c r="FX2" i="5" s="1"/>
  <c r="FY2" i="5" a="1"/>
  <c r="FY2" i="5" s="1"/>
  <c r="FZ2" i="5" a="1"/>
  <c r="FZ2" i="5" s="1"/>
  <c r="GA2" i="5" a="1"/>
  <c r="GA2" i="5" s="1"/>
  <c r="GB2" i="5" a="1"/>
  <c r="GB2" i="5" s="1"/>
  <c r="GC2" i="5" a="1"/>
  <c r="GC2" i="5" s="1"/>
  <c r="GD2" i="5" a="1"/>
  <c r="GD2" i="5" s="1"/>
  <c r="GE2" i="5" a="1"/>
  <c r="GE2" i="5" s="1"/>
  <c r="GF2" i="5" a="1"/>
  <c r="GF2" i="5" s="1"/>
  <c r="GG2" i="5" a="1"/>
  <c r="GG2" i="5" s="1"/>
  <c r="GH2" i="5" a="1"/>
  <c r="GH2" i="5" s="1"/>
  <c r="GI2" i="5" a="1"/>
  <c r="GI2" i="5" s="1"/>
  <c r="GJ2" i="5" a="1"/>
  <c r="GJ2" i="5" s="1"/>
  <c r="GK2" i="5" a="1"/>
  <c r="GK2" i="5" s="1"/>
  <c r="GL2" i="5" a="1"/>
  <c r="GL2" i="5" s="1"/>
  <c r="GM2" i="5" a="1"/>
  <c r="GM2" i="5" s="1"/>
  <c r="GN2" i="5" a="1"/>
  <c r="GN2" i="5" s="1"/>
  <c r="GO2" i="5" a="1"/>
  <c r="GO2" i="5" s="1"/>
  <c r="GP2" i="5" a="1"/>
  <c r="GP2" i="5" s="1"/>
  <c r="GQ2" i="5" a="1"/>
  <c r="GQ2" i="5" s="1"/>
  <c r="GR2" i="5" a="1"/>
  <c r="GR2" i="5" s="1"/>
  <c r="GS2" i="5" a="1"/>
  <c r="GS2" i="5" s="1"/>
  <c r="GT2" i="5" a="1"/>
  <c r="GT2" i="5" s="1"/>
  <c r="T2" i="3" a="1"/>
  <c r="T2" i="3" s="1"/>
  <c r="U2" i="3" a="1"/>
  <c r="U2" i="3" s="1"/>
  <c r="V2" i="3" a="1"/>
  <c r="V2" i="3" s="1"/>
  <c r="W2" i="3" a="1"/>
  <c r="W2" i="3" s="1"/>
  <c r="X2" i="3" a="1"/>
  <c r="X2" i="3" s="1"/>
  <c r="Y2" i="3" a="1"/>
  <c r="Y2" i="3" s="1"/>
  <c r="Z2" i="3" a="1"/>
  <c r="Z2" i="3" s="1"/>
  <c r="AA2" i="3" a="1"/>
  <c r="AA2" i="3" s="1"/>
  <c r="AB2" i="3" a="1"/>
  <c r="AB2" i="3" s="1"/>
  <c r="AC2" i="3" a="1"/>
  <c r="AC2" i="3" s="1"/>
  <c r="AD2" i="3" a="1"/>
  <c r="AD2" i="3" s="1"/>
  <c r="AE2" i="3" a="1"/>
  <c r="AE2" i="3" s="1"/>
  <c r="AF2" i="3" a="1"/>
  <c r="AF2" i="3" s="1"/>
  <c r="AG2" i="3" a="1"/>
  <c r="AG2" i="3" s="1"/>
  <c r="AH2" i="3" a="1"/>
  <c r="AH2" i="3" s="1"/>
  <c r="AI2" i="3" a="1"/>
  <c r="AI2" i="3" s="1"/>
  <c r="AJ2" i="3" a="1"/>
  <c r="AJ2" i="3" s="1"/>
  <c r="AK2" i="3" a="1"/>
  <c r="AK2" i="3" s="1"/>
  <c r="AL2" i="3" a="1"/>
  <c r="AL2" i="3" s="1"/>
  <c r="AM2" i="3" a="1"/>
  <c r="AM2" i="3" s="1"/>
  <c r="AN2" i="3" a="1"/>
  <c r="AN2" i="3" s="1"/>
  <c r="AO2" i="3" a="1"/>
  <c r="AO2" i="3" s="1"/>
  <c r="AP2" i="3" a="1"/>
  <c r="AP2" i="3" s="1"/>
  <c r="AQ2" i="3" a="1"/>
  <c r="AQ2" i="3" s="1"/>
  <c r="AR2" i="3" a="1"/>
  <c r="AR2" i="3" s="1"/>
  <c r="AS2" i="3" a="1"/>
  <c r="AS2" i="3" s="1"/>
  <c r="AT2" i="3" a="1"/>
  <c r="AT2" i="3" s="1"/>
  <c r="AU2" i="3" a="1"/>
  <c r="AU2" i="3" s="1"/>
  <c r="AV2" i="3" a="1"/>
  <c r="AV2" i="3" s="1"/>
  <c r="AW2" i="3" a="1"/>
  <c r="AW2" i="3" s="1"/>
  <c r="AX2" i="3" a="1"/>
  <c r="AX2" i="3" s="1"/>
  <c r="AY2" i="3" a="1"/>
  <c r="AY2" i="3" s="1"/>
  <c r="AZ2" i="3" a="1"/>
  <c r="AZ2" i="3" s="1"/>
  <c r="BA2" i="3" a="1"/>
  <c r="BA2" i="3" s="1"/>
  <c r="BB2" i="3" a="1"/>
  <c r="BB2" i="3" s="1"/>
  <c r="BC2" i="3" a="1"/>
  <c r="BC2" i="3" s="1"/>
  <c r="BD2" i="3" a="1"/>
  <c r="BD2" i="3" s="1"/>
  <c r="BE2" i="3" a="1"/>
  <c r="BE2" i="3" s="1"/>
  <c r="BF2" i="3" a="1"/>
  <c r="BF2" i="3" s="1"/>
  <c r="BG2" i="3" a="1"/>
  <c r="BG2" i="3" s="1"/>
  <c r="BH2" i="3" a="1"/>
  <c r="BH2" i="3" s="1"/>
  <c r="BI2" i="3" a="1"/>
  <c r="BI2" i="3" s="1"/>
  <c r="BJ2" i="3" a="1"/>
  <c r="BJ2" i="3" s="1"/>
  <c r="BK2" i="3" a="1"/>
  <c r="BK2" i="3" s="1"/>
  <c r="BL2" i="3" a="1"/>
  <c r="BL2" i="3" s="1"/>
  <c r="BM2" i="3" a="1"/>
  <c r="BM2" i="3" s="1"/>
  <c r="BN2" i="3" a="1"/>
  <c r="BN2" i="3" s="1"/>
  <c r="BO2" i="3" a="1"/>
  <c r="BO2" i="3" s="1"/>
  <c r="BP2" i="3" a="1"/>
  <c r="BP2" i="3" s="1"/>
  <c r="BQ2" i="3" a="1"/>
  <c r="BQ2" i="3" s="1"/>
  <c r="BR2" i="3" a="1"/>
  <c r="BR2" i="3" s="1"/>
  <c r="BS2" i="3" a="1"/>
  <c r="BS2" i="3" s="1"/>
  <c r="BT2" i="3" a="1"/>
  <c r="BT2" i="3" s="1"/>
  <c r="BU2" i="3" a="1"/>
  <c r="BU2" i="3" s="1"/>
  <c r="BV2" i="3" a="1"/>
  <c r="BV2" i="3" s="1"/>
  <c r="BW2" i="3" a="1"/>
  <c r="BW2" i="3" s="1"/>
  <c r="BX2" i="3" a="1"/>
  <c r="BX2" i="3" s="1"/>
  <c r="BY2" i="3" a="1"/>
  <c r="BY2" i="3" s="1"/>
  <c r="BZ2" i="3" a="1"/>
  <c r="BZ2" i="3" s="1"/>
  <c r="CA2" i="3" a="1"/>
  <c r="CA2" i="3" s="1"/>
  <c r="CB2" i="3" a="1"/>
  <c r="CB2" i="3" s="1"/>
  <c r="CC2" i="3" a="1"/>
  <c r="CC2" i="3" s="1"/>
  <c r="CD2" i="3" a="1"/>
  <c r="CD2" i="3" s="1"/>
  <c r="CE2" i="3" a="1"/>
  <c r="CE2" i="3" s="1"/>
  <c r="CF2" i="3" a="1"/>
  <c r="CF2" i="3" s="1"/>
  <c r="CG2" i="3" a="1"/>
  <c r="CG2" i="3" s="1"/>
  <c r="CH2" i="3" a="1"/>
  <c r="CH2" i="3" s="1"/>
  <c r="CI2" i="3" a="1"/>
  <c r="CI2" i="3" s="1"/>
  <c r="CJ2" i="3" a="1"/>
  <c r="CJ2" i="3" s="1"/>
  <c r="CK2" i="3" a="1"/>
  <c r="CK2" i="3" s="1"/>
  <c r="CL2" i="3" a="1"/>
  <c r="CL2" i="3" s="1"/>
  <c r="CM2" i="3" a="1"/>
  <c r="CM2" i="3" s="1"/>
  <c r="CN2" i="3" a="1"/>
  <c r="CN2" i="3" s="1"/>
  <c r="CO2" i="3" a="1"/>
  <c r="CO2" i="3" s="1"/>
  <c r="CP2" i="3" a="1"/>
  <c r="CP2" i="3" s="1"/>
  <c r="CQ2" i="3" a="1"/>
  <c r="CQ2" i="3" s="1"/>
  <c r="CR2" i="3" a="1"/>
  <c r="CR2" i="3" s="1"/>
  <c r="CS2" i="3" a="1"/>
  <c r="CS2" i="3" s="1"/>
  <c r="CT2" i="3" a="1"/>
  <c r="CT2" i="3" s="1"/>
  <c r="CU2" i="3" a="1"/>
  <c r="CU2" i="3" s="1"/>
  <c r="CV2" i="3" a="1"/>
  <c r="CV2" i="3" s="1"/>
  <c r="CW2" i="3" a="1"/>
  <c r="CW2" i="3" s="1"/>
  <c r="CX2" i="3" a="1"/>
  <c r="CX2" i="3" s="1"/>
  <c r="CY2" i="3" a="1"/>
  <c r="CY2" i="3" s="1"/>
  <c r="CZ2" i="3" a="1"/>
  <c r="CZ2" i="3" s="1"/>
  <c r="DA2" i="3" a="1"/>
  <c r="DA2" i="3" s="1"/>
  <c r="DB2" i="3" a="1"/>
  <c r="DB2" i="3" s="1"/>
  <c r="DC2" i="3" a="1"/>
  <c r="DC2" i="3" s="1"/>
  <c r="DD2" i="3" a="1"/>
  <c r="DD2" i="3" s="1"/>
  <c r="DE2" i="3" a="1"/>
  <c r="DE2" i="3" s="1"/>
  <c r="DF2" i="3" a="1"/>
  <c r="DF2" i="3" s="1"/>
  <c r="DG2" i="3" a="1"/>
  <c r="DG2" i="3" s="1"/>
  <c r="DH2" i="3" a="1"/>
  <c r="DH2" i="3" s="1"/>
  <c r="DI2" i="3" a="1"/>
  <c r="DI2" i="3" s="1"/>
  <c r="DJ2" i="3" a="1"/>
  <c r="DJ2" i="3" s="1"/>
  <c r="DK2" i="3" a="1"/>
  <c r="DK2" i="3" s="1"/>
  <c r="DL2" i="3" a="1"/>
  <c r="DL2" i="3" s="1"/>
  <c r="DM2" i="3" a="1"/>
  <c r="DM2" i="3" s="1"/>
  <c r="DN2" i="3" a="1"/>
  <c r="DN2" i="3" s="1"/>
  <c r="DO2" i="3" a="1"/>
  <c r="DO2" i="3" s="1"/>
  <c r="DP2" i="3" a="1"/>
  <c r="DP2" i="3" s="1"/>
  <c r="DQ2" i="3" a="1"/>
  <c r="DQ2" i="3" s="1"/>
  <c r="DR2" i="3" a="1"/>
  <c r="DR2" i="3" s="1"/>
  <c r="DS2" i="3" a="1"/>
  <c r="DS2" i="3" s="1"/>
  <c r="DT2" i="3" a="1"/>
  <c r="DT2" i="3" s="1"/>
  <c r="DU2" i="3" a="1"/>
  <c r="DU2" i="3" s="1"/>
  <c r="DV2" i="3" a="1"/>
  <c r="DV2" i="3" s="1"/>
  <c r="DW2" i="3" a="1"/>
  <c r="DW2" i="3" s="1"/>
  <c r="DX2" i="3" a="1"/>
  <c r="DX2" i="3" s="1"/>
  <c r="DY2" i="3" a="1"/>
  <c r="DY2" i="3" s="1"/>
  <c r="DZ2" i="3" a="1"/>
  <c r="DZ2" i="3" s="1"/>
  <c r="EA2" i="3" a="1"/>
  <c r="EA2" i="3" s="1"/>
  <c r="EB2" i="3" a="1"/>
  <c r="EB2" i="3" s="1"/>
  <c r="EC2" i="3" a="1"/>
  <c r="EC2" i="3" s="1"/>
  <c r="ED2" i="3" a="1"/>
  <c r="ED2" i="3" s="1"/>
  <c r="EE2" i="3" a="1"/>
  <c r="EE2" i="3" s="1"/>
  <c r="EF2" i="3" a="1"/>
  <c r="EF2" i="3" s="1"/>
  <c r="EG2" i="3" a="1"/>
  <c r="EG2" i="3" s="1"/>
  <c r="EH2" i="3" a="1"/>
  <c r="EH2" i="3" s="1"/>
  <c r="EI2" i="3" a="1"/>
  <c r="EI2" i="3" s="1"/>
  <c r="EJ2" i="3" a="1"/>
  <c r="EJ2" i="3" s="1"/>
  <c r="EK2" i="3" a="1"/>
  <c r="EK2" i="3" s="1"/>
  <c r="EL2" i="3" a="1"/>
  <c r="EL2" i="3" s="1"/>
  <c r="EM2" i="3" a="1"/>
  <c r="EM2" i="3" s="1"/>
  <c r="EN2" i="3" a="1"/>
  <c r="EN2" i="3" s="1"/>
  <c r="EO2" i="3" a="1"/>
  <c r="EO2" i="3" s="1"/>
  <c r="EP2" i="3" a="1"/>
  <c r="EP2" i="3" s="1"/>
  <c r="EQ2" i="3" a="1"/>
  <c r="EQ2" i="3" s="1"/>
  <c r="ER2" i="3" a="1"/>
  <c r="ER2" i="3" s="1"/>
  <c r="ES2" i="3" a="1"/>
  <c r="ES2" i="3" s="1"/>
  <c r="ET2" i="3" a="1"/>
  <c r="ET2" i="3" s="1"/>
  <c r="EU2" i="3" a="1"/>
  <c r="EU2" i="3" s="1"/>
  <c r="EV2" i="3" a="1"/>
  <c r="EV2" i="3" s="1"/>
  <c r="EW2" i="3" a="1"/>
  <c r="EW2" i="3" s="1"/>
  <c r="EX2" i="3" a="1"/>
  <c r="EX2" i="3" s="1"/>
  <c r="EY2" i="3" a="1"/>
  <c r="EY2" i="3" s="1"/>
  <c r="EZ2" i="3" a="1"/>
  <c r="EZ2" i="3" s="1"/>
  <c r="FA2" i="3" a="1"/>
  <c r="FA2" i="3" s="1"/>
  <c r="FB2" i="3" a="1"/>
  <c r="FB2" i="3" s="1"/>
  <c r="FC2" i="3" a="1"/>
  <c r="FC2" i="3" s="1"/>
  <c r="FD2" i="3" a="1"/>
  <c r="FD2" i="3" s="1"/>
  <c r="FE2" i="3" a="1"/>
  <c r="FE2" i="3" s="1"/>
  <c r="FF2" i="3" a="1"/>
  <c r="FF2" i="3" s="1"/>
  <c r="FG2" i="3" a="1"/>
  <c r="FG2" i="3" s="1"/>
  <c r="FH2" i="3" a="1"/>
  <c r="FH2" i="3" s="1"/>
  <c r="FI2" i="3" a="1"/>
  <c r="FI2" i="3" s="1"/>
  <c r="FJ2" i="3" a="1"/>
  <c r="FJ2" i="3" s="1"/>
  <c r="FK2" i="3" a="1"/>
  <c r="FK2" i="3" s="1"/>
  <c r="FL2" i="3" a="1"/>
  <c r="FL2" i="3" s="1"/>
  <c r="FM2" i="3" a="1"/>
  <c r="FM2" i="3" s="1"/>
  <c r="FN2" i="3" a="1"/>
  <c r="FN2" i="3" s="1"/>
  <c r="FO2" i="3" a="1"/>
  <c r="FO2" i="3" s="1"/>
  <c r="FP2" i="3" a="1"/>
  <c r="FP2" i="3" s="1"/>
  <c r="FQ2" i="3" a="1"/>
  <c r="FQ2" i="3" s="1"/>
  <c r="FR2" i="3" a="1"/>
  <c r="FR2" i="3" s="1"/>
  <c r="FS2" i="3" a="1"/>
  <c r="FS2" i="3" s="1"/>
  <c r="FT2" i="3" a="1"/>
  <c r="FT2" i="3" s="1"/>
  <c r="FU2" i="3" a="1"/>
  <c r="FU2" i="3" s="1"/>
  <c r="FV2" i="3" a="1"/>
  <c r="FV2" i="3" s="1"/>
  <c r="FW2" i="3" a="1"/>
  <c r="FW2" i="3" s="1"/>
  <c r="FX2" i="3" a="1"/>
  <c r="FX2" i="3" s="1"/>
  <c r="FY2" i="3" a="1"/>
  <c r="FY2" i="3" s="1"/>
  <c r="FZ2" i="3" a="1"/>
  <c r="FZ2" i="3" s="1"/>
  <c r="GA2" i="3" a="1"/>
  <c r="GA2" i="3" s="1"/>
  <c r="GB2" i="3" a="1"/>
  <c r="GB2" i="3" s="1"/>
  <c r="GC2" i="3" a="1"/>
  <c r="GC2" i="3" s="1"/>
  <c r="GD2" i="3" a="1"/>
  <c r="GD2" i="3" s="1"/>
  <c r="GE2" i="3" a="1"/>
  <c r="GE2" i="3" s="1"/>
  <c r="GF2" i="3" a="1"/>
  <c r="GF2" i="3" s="1"/>
  <c r="GG2" i="3" a="1"/>
  <c r="GG2" i="3" s="1"/>
  <c r="GH2" i="3" a="1"/>
  <c r="GH2" i="3" s="1"/>
  <c r="GI2" i="3" a="1"/>
  <c r="GI2" i="3" s="1"/>
  <c r="GJ2" i="3" a="1"/>
  <c r="GJ2" i="3" s="1"/>
  <c r="GK2" i="3" a="1"/>
  <c r="GK2" i="3" s="1"/>
  <c r="GL2" i="3" a="1"/>
  <c r="GL2" i="3" s="1"/>
  <c r="GM2" i="3" a="1"/>
  <c r="GM2" i="3" s="1"/>
  <c r="GN2" i="3" a="1"/>
  <c r="GN2" i="3" s="1"/>
  <c r="GO2" i="3" a="1"/>
  <c r="GO2" i="3" s="1"/>
  <c r="GP2" i="3" a="1"/>
  <c r="GP2" i="3" s="1"/>
  <c r="GQ2" i="3" a="1"/>
  <c r="GQ2" i="3" s="1"/>
  <c r="GR2" i="3" a="1"/>
  <c r="GR2" i="3" s="1"/>
  <c r="GS2" i="3" a="1"/>
  <c r="GS2" i="3" s="1"/>
  <c r="GT2" i="3" a="1"/>
  <c r="GT2" i="3" s="1"/>
  <c r="GU2" i="3" a="1"/>
  <c r="GU2" i="3" s="1"/>
  <c r="GV2" i="3" a="1"/>
  <c r="GV2" i="3" s="1"/>
  <c r="GW2" i="3" a="1"/>
  <c r="GW2" i="3" s="1"/>
  <c r="GX2" i="3" a="1"/>
  <c r="GX2" i="3" s="1"/>
  <c r="GY2" i="3" a="1"/>
  <c r="GY2" i="3" s="1"/>
  <c r="GZ2" i="3" a="1"/>
  <c r="GZ2" i="3" s="1"/>
  <c r="HA2" i="3" a="1"/>
  <c r="HA2" i="3" s="1"/>
  <c r="HB2" i="3" a="1"/>
  <c r="HB2" i="3" s="1"/>
  <c r="HC2" i="3" a="1"/>
  <c r="HC2" i="3" s="1"/>
  <c r="HD2" i="3" a="1"/>
  <c r="HD2" i="3" s="1"/>
  <c r="HE2" i="3" a="1"/>
  <c r="HE2" i="3" s="1"/>
  <c r="HF2" i="3" a="1"/>
  <c r="HF2" i="3" s="1"/>
  <c r="HG2" i="3" a="1"/>
  <c r="HG2" i="3" s="1"/>
  <c r="HH2" i="3" a="1"/>
  <c r="HH2" i="3" s="1"/>
  <c r="HI2" i="3" a="1"/>
  <c r="HI2" i="3" s="1"/>
  <c r="HJ2" i="3" a="1"/>
  <c r="HJ2" i="3" s="1"/>
  <c r="HK2" i="3" a="1"/>
  <c r="HK2" i="3" s="1"/>
  <c r="HL2" i="3" a="1"/>
  <c r="HL2" i="3" s="1"/>
  <c r="HM2" i="3" a="1"/>
  <c r="HM2" i="3" s="1"/>
  <c r="HN2" i="3" a="1"/>
  <c r="HN2" i="3" s="1"/>
  <c r="HO2" i="3" a="1"/>
  <c r="HO2" i="3" s="1"/>
  <c r="HP2" i="3" a="1"/>
  <c r="HP2" i="3" s="1"/>
  <c r="HQ2" i="3" a="1"/>
  <c r="HQ2" i="3" s="1"/>
  <c r="HR2" i="3" a="1"/>
  <c r="HR2" i="3" s="1"/>
  <c r="HS2" i="3" a="1"/>
  <c r="HS2" i="3" s="1"/>
  <c r="HT2" i="3" a="1"/>
  <c r="HT2" i="3" s="1"/>
  <c r="HU2" i="3" a="1"/>
  <c r="HU2" i="3" s="1"/>
  <c r="HV2" i="3" a="1"/>
  <c r="HV2" i="3" s="1"/>
  <c r="HW2" i="3" a="1"/>
  <c r="HW2" i="3" s="1"/>
  <c r="HX2" i="3" a="1"/>
  <c r="HX2" i="3" s="1"/>
  <c r="HY2" i="3" a="1"/>
  <c r="HY2" i="3" s="1"/>
  <c r="HZ2" i="3" a="1"/>
  <c r="HZ2" i="3" s="1"/>
  <c r="IA2" i="3" a="1"/>
  <c r="IA2" i="3" s="1"/>
  <c r="IB2" i="3" a="1"/>
  <c r="IB2" i="3" s="1"/>
  <c r="IC2" i="3" a="1"/>
  <c r="IC2" i="3" s="1"/>
  <c r="ID2" i="3" a="1"/>
  <c r="ID2" i="3" s="1"/>
  <c r="IE2" i="3" a="1"/>
  <c r="IE2" i="3" s="1"/>
  <c r="IF2" i="3" a="1"/>
  <c r="IF2" i="3" s="1"/>
  <c r="IG2" i="3" a="1"/>
  <c r="IG2" i="3" s="1"/>
  <c r="IH2" i="3" a="1"/>
  <c r="IH2" i="3" s="1"/>
  <c r="II2" i="3" a="1"/>
  <c r="II2" i="3" s="1"/>
  <c r="IJ2" i="3" a="1"/>
  <c r="IJ2" i="3" s="1"/>
  <c r="IK2" i="3" a="1"/>
  <c r="IK2" i="3" s="1"/>
  <c r="IL2" i="3" a="1"/>
  <c r="IL2" i="3" s="1"/>
  <c r="IM2" i="3" a="1"/>
  <c r="IM2" i="3" s="1"/>
  <c r="IN2" i="3" a="1"/>
  <c r="IN2" i="3" s="1"/>
  <c r="IO2" i="3" a="1"/>
  <c r="IO2" i="3" s="1"/>
  <c r="IP2" i="3" a="1"/>
  <c r="IP2" i="3" s="1"/>
  <c r="B17" i="2" a="1"/>
  <c r="B17" i="2" s="1"/>
  <c r="C17" i="2" a="1"/>
  <c r="C17" i="2" s="1"/>
  <c r="D17" i="2" a="1"/>
  <c r="D17" i="2" s="1"/>
  <c r="F17" i="2" s="1"/>
  <c r="H17" i="2" a="1"/>
  <c r="H17" i="2" s="1"/>
  <c r="I17" i="2" a="1"/>
  <c r="I17" i="2" s="1"/>
  <c r="B8" i="2" a="1"/>
  <c r="B8" i="2" s="1"/>
  <c r="C8" i="2" a="1"/>
  <c r="C8" i="2" s="1"/>
  <c r="D8" i="2" a="1"/>
  <c r="D8" i="2" s="1"/>
  <c r="F8" i="2" s="1"/>
  <c r="H8" i="2" a="1"/>
  <c r="H8" i="2" s="1"/>
  <c r="I8" i="2" a="1"/>
  <c r="I8" i="2" s="1"/>
  <c r="B3" i="2" a="1"/>
  <c r="B3" i="2" s="1"/>
  <c r="C3" i="2" a="1"/>
  <c r="C3" i="2" s="1"/>
  <c r="D3" i="2" a="1"/>
  <c r="D3" i="2" s="1"/>
  <c r="F3" i="2" s="1"/>
  <c r="H3" i="2" a="1"/>
  <c r="H3" i="2" s="1"/>
  <c r="I3" i="2" a="1"/>
  <c r="I3" i="2" s="1"/>
  <c r="I2" i="2" a="1"/>
  <c r="I2" i="2" s="1"/>
  <c r="I4" i="2" a="1"/>
  <c r="I4" i="2" s="1"/>
  <c r="I5" i="2" a="1"/>
  <c r="I5" i="2" s="1"/>
  <c r="I6" i="2" a="1"/>
  <c r="I6" i="2" s="1"/>
  <c r="I7" i="2" a="1"/>
  <c r="I7" i="2" s="1"/>
  <c r="I9" i="2" a="1"/>
  <c r="I9" i="2" s="1"/>
  <c r="I10" i="2" a="1"/>
  <c r="I10" i="2" s="1"/>
  <c r="I12" i="2" a="1"/>
  <c r="I12" i="2" s="1"/>
  <c r="I13" i="2" a="1"/>
  <c r="I13" i="2" s="1"/>
  <c r="I14" i="2" a="1"/>
  <c r="I14" i="2" s="1"/>
  <c r="I15" i="2" a="1"/>
  <c r="I15" i="2" s="1"/>
  <c r="A2" i="3" a="1"/>
  <c r="A2" i="5" l="1" a="1"/>
  <c r="A2" i="3"/>
  <c r="B2" i="2" a="1"/>
  <c r="B2" i="2" s="1"/>
  <c r="C2" i="2" a="1"/>
  <c r="C2" i="2" s="1"/>
  <c r="D2" i="2" a="1"/>
  <c r="D2" i="2" s="1"/>
  <c r="F2" i="2" s="1"/>
  <c r="H2" i="2" a="1"/>
  <c r="H2" i="2" s="1"/>
  <c r="B4" i="2" a="1"/>
  <c r="B4" i="2" s="1"/>
  <c r="C4" i="2" a="1"/>
  <c r="C4" i="2" s="1"/>
  <c r="D4" i="2" a="1"/>
  <c r="D4" i="2" s="1"/>
  <c r="F4" i="2" s="1"/>
  <c r="H4" i="2" a="1"/>
  <c r="H4" i="2" s="1"/>
  <c r="B5" i="2" a="1"/>
  <c r="B5" i="2" s="1"/>
  <c r="C5" i="2" a="1"/>
  <c r="C5" i="2" s="1"/>
  <c r="D5" i="2" a="1"/>
  <c r="D5" i="2" s="1"/>
  <c r="F5" i="2" s="1"/>
  <c r="H5" i="2" a="1"/>
  <c r="H5" i="2" s="1"/>
  <c r="B6" i="2" a="1"/>
  <c r="B6" i="2" s="1"/>
  <c r="C6" i="2" a="1"/>
  <c r="C6" i="2" s="1"/>
  <c r="D6" i="2" a="1"/>
  <c r="D6" i="2" s="1"/>
  <c r="F6" i="2" s="1"/>
  <c r="H6" i="2" a="1"/>
  <c r="H6" i="2" s="1"/>
  <c r="B7" i="2" a="1"/>
  <c r="B7" i="2" s="1"/>
  <c r="C7" i="2" a="1"/>
  <c r="C7" i="2" s="1"/>
  <c r="D7" i="2" a="1"/>
  <c r="D7" i="2" s="1"/>
  <c r="F7" i="2" s="1"/>
  <c r="H7" i="2" a="1"/>
  <c r="H7" i="2" s="1"/>
  <c r="B9" i="2" a="1"/>
  <c r="B9" i="2" s="1"/>
  <c r="D9" i="2" a="1"/>
  <c r="D9" i="2" s="1"/>
  <c r="F9" i="2" s="1"/>
  <c r="H9" i="2" a="1"/>
  <c r="H9" i="2" s="1"/>
  <c r="B10" i="2" a="1"/>
  <c r="B10" i="2" s="1"/>
  <c r="C10" i="2" a="1"/>
  <c r="C10" i="2" s="1"/>
  <c r="D10" i="2" a="1"/>
  <c r="D10" i="2" s="1"/>
  <c r="F10" i="2" s="1"/>
  <c r="H10" i="2" a="1"/>
  <c r="H10" i="2" s="1"/>
  <c r="B12" i="2" a="1"/>
  <c r="B12" i="2" s="1"/>
  <c r="C12" i="2" a="1"/>
  <c r="C12" i="2" s="1"/>
  <c r="D12" i="2" a="1"/>
  <c r="D12" i="2" s="1"/>
  <c r="F12" i="2" s="1"/>
  <c r="H12" i="2" a="1"/>
  <c r="H12" i="2" s="1"/>
  <c r="B13" i="2" a="1"/>
  <c r="B13" i="2" s="1"/>
  <c r="C13" i="2" a="1"/>
  <c r="C13" i="2" s="1"/>
  <c r="D13" i="2" a="1"/>
  <c r="D13" i="2" s="1"/>
  <c r="F13" i="2" s="1"/>
  <c r="H13" i="2" a="1"/>
  <c r="H13" i="2" s="1"/>
  <c r="B14" i="2" a="1"/>
  <c r="B14" i="2" s="1"/>
  <c r="C14" i="2" a="1"/>
  <c r="C14" i="2" s="1"/>
  <c r="D14" i="2" a="1"/>
  <c r="D14" i="2" s="1"/>
  <c r="F14" i="2" s="1"/>
  <c r="H14" i="2" a="1"/>
  <c r="H14" i="2" s="1"/>
  <c r="B15" i="2" a="1"/>
  <c r="B15" i="2" s="1"/>
  <c r="C15" i="2" a="1"/>
  <c r="C15" i="2" s="1"/>
  <c r="D15" i="2" a="1"/>
  <c r="D15" i="2" s="1"/>
  <c r="F15" i="2" s="1"/>
  <c r="H15" i="2" a="1"/>
  <c r="H15" i="2" s="1"/>
  <c r="H2" i="5" a="1"/>
  <c r="F2" i="5" a="1"/>
  <c r="G16" i="2" l="1"/>
  <c r="I3" i="5"/>
  <c r="I4" i="5" s="1"/>
  <c r="I5" i="5" s="1"/>
  <c r="I6" i="5" s="1"/>
  <c r="I7" i="5" s="1"/>
  <c r="I8" i="5" s="1"/>
  <c r="I9" i="5" s="1"/>
  <c r="I10" i="5" s="1"/>
  <c r="I11" i="5" s="1"/>
  <c r="I12" i="5" s="1"/>
  <c r="I13" i="5" s="1"/>
  <c r="I14" i="5" s="1"/>
  <c r="I15" i="5" s="1"/>
  <c r="I16" i="5" s="1"/>
  <c r="I17" i="5" s="1"/>
  <c r="I18" i="5" s="1"/>
  <c r="I19" i="5" s="1"/>
  <c r="I20" i="5" s="1"/>
  <c r="I21" i="5" s="1"/>
  <c r="I22" i="5" s="1"/>
  <c r="I23" i="5" s="1"/>
  <c r="I24" i="5" s="1"/>
  <c r="I25" i="5" s="1"/>
  <c r="I26" i="5" s="1"/>
  <c r="I27" i="5" s="1"/>
  <c r="I28" i="5" s="1"/>
  <c r="I29" i="5" s="1"/>
  <c r="I30" i="5" s="1"/>
  <c r="I31" i="5" s="1"/>
  <c r="I32" i="5" s="1"/>
  <c r="I33" i="5" s="1"/>
  <c r="I34" i="5" s="1"/>
  <c r="I35" i="5" s="1"/>
  <c r="I36" i="5" s="1"/>
  <c r="I37" i="5" s="1"/>
  <c r="I38" i="5" s="1"/>
  <c r="I39" i="5" s="1"/>
  <c r="I40" i="5" s="1"/>
  <c r="I41" i="5" s="1"/>
  <c r="I42" i="5" s="1"/>
  <c r="I43" i="5" s="1"/>
  <c r="I44" i="5" s="1"/>
  <c r="I45" i="5" s="1"/>
  <c r="I46" i="5" s="1"/>
  <c r="I47" i="5" s="1"/>
  <c r="I48" i="5" s="1"/>
  <c r="I49" i="5" s="1"/>
  <c r="I50" i="5" s="1"/>
  <c r="I51" i="5" s="1"/>
  <c r="I52" i="5" s="1"/>
  <c r="I53" i="5" s="1"/>
  <c r="I54" i="5" s="1"/>
  <c r="I55" i="5" s="1"/>
  <c r="I56" i="5" s="1"/>
  <c r="I57" i="5" s="1"/>
  <c r="I58" i="5" s="1"/>
  <c r="I59" i="5" s="1"/>
  <c r="I60" i="5" s="1"/>
  <c r="I61" i="5" s="1"/>
  <c r="I62" i="5" s="1"/>
  <c r="I63" i="5" s="1"/>
  <c r="I64" i="5" s="1"/>
  <c r="I65" i="5" s="1"/>
  <c r="I66" i="5" s="1"/>
  <c r="I67" i="5" s="1"/>
  <c r="I68" i="5" s="1"/>
  <c r="I69" i="5" s="1"/>
  <c r="I70" i="5" s="1"/>
  <c r="I71" i="5" s="1"/>
  <c r="I72" i="5" s="1"/>
  <c r="I73" i="5" s="1"/>
  <c r="I74" i="5" s="1"/>
  <c r="I75" i="5" s="1"/>
  <c r="I76" i="5" s="1"/>
  <c r="I77" i="5" s="1"/>
  <c r="I78" i="5" s="1"/>
  <c r="I79" i="5" s="1"/>
  <c r="I80" i="5" s="1"/>
  <c r="I81" i="5" s="1"/>
  <c r="I82" i="5" s="1"/>
  <c r="I83" i="5" s="1"/>
  <c r="I84" i="5" s="1"/>
  <c r="I85" i="5" s="1"/>
  <c r="I86" i="5" s="1"/>
  <c r="I87" i="5" s="1"/>
  <c r="I88" i="5" s="1"/>
  <c r="I89" i="5" s="1"/>
  <c r="I90" i="5" s="1"/>
  <c r="I91" i="5" s="1"/>
  <c r="I92" i="5" s="1"/>
  <c r="I93" i="5" s="1"/>
  <c r="I94" i="5" s="1"/>
  <c r="I95" i="5" s="1"/>
  <c r="I96" i="5" s="1"/>
  <c r="I97" i="5" s="1"/>
  <c r="I98" i="5" s="1"/>
  <c r="I99" i="5" s="1"/>
  <c r="I100" i="5" s="1"/>
  <c r="I101" i="5" s="1"/>
  <c r="I102" i="5" s="1"/>
  <c r="I103" i="5" s="1"/>
  <c r="I104" i="5" s="1"/>
  <c r="I105" i="5" s="1"/>
  <c r="I106" i="5" s="1"/>
  <c r="I107" i="5" s="1"/>
  <c r="I108" i="5" s="1"/>
  <c r="I109" i="5" s="1"/>
  <c r="I110" i="5" s="1"/>
  <c r="I111" i="5" s="1"/>
  <c r="I112" i="5" s="1"/>
  <c r="I113" i="5" s="1"/>
  <c r="I114" i="5" s="1"/>
  <c r="I115" i="5" s="1"/>
  <c r="I116" i="5" s="1"/>
  <c r="I117" i="5" s="1"/>
  <c r="I118" i="5" s="1"/>
  <c r="I119" i="5" s="1"/>
  <c r="I120" i="5" s="1"/>
  <c r="I121" i="5" s="1"/>
  <c r="I122" i="5" s="1"/>
  <c r="I123" i="5" s="1"/>
  <c r="I124" i="5" s="1"/>
  <c r="I125" i="5" s="1"/>
  <c r="I126" i="5" s="1"/>
  <c r="I127" i="5" s="1"/>
  <c r="I128" i="5" s="1"/>
  <c r="I129" i="5" s="1"/>
  <c r="I130" i="5" s="1"/>
  <c r="I131" i="5" s="1"/>
  <c r="I132" i="5" s="1"/>
  <c r="I133" i="5" s="1"/>
  <c r="I134" i="5" s="1"/>
  <c r="I135" i="5" s="1"/>
  <c r="I136" i="5" s="1"/>
  <c r="I137" i="5" s="1"/>
  <c r="I138" i="5" s="1"/>
  <c r="I139" i="5" s="1"/>
  <c r="I140" i="5" s="1"/>
  <c r="I141" i="5" s="1"/>
  <c r="I142" i="5" s="1"/>
  <c r="I143" i="5" s="1"/>
  <c r="I144" i="5" s="1"/>
  <c r="I145" i="5" s="1"/>
  <c r="I146" i="5" s="1"/>
  <c r="I147" i="5" s="1"/>
  <c r="I148" i="5" s="1"/>
  <c r="I149" i="5" s="1"/>
  <c r="I150" i="5" s="1"/>
  <c r="I151" i="5" s="1"/>
  <c r="I152" i="5" s="1"/>
  <c r="I153" i="5" s="1"/>
  <c r="I154" i="5" s="1"/>
  <c r="I155" i="5" s="1"/>
  <c r="I156" i="5" s="1"/>
  <c r="I157" i="5" s="1"/>
  <c r="I158" i="5" s="1"/>
  <c r="I159" i="5" s="1"/>
  <c r="I160" i="5" s="1"/>
  <c r="I161" i="5" s="1"/>
  <c r="I162" i="5" s="1"/>
  <c r="I163" i="5" s="1"/>
  <c r="I164" i="5" s="1"/>
  <c r="I165" i="5" s="1"/>
  <c r="I166" i="5" s="1"/>
  <c r="I167" i="5" s="1"/>
  <c r="I168" i="5" s="1"/>
  <c r="I169" i="5" s="1"/>
  <c r="I170" i="5" s="1"/>
  <c r="I171" i="5" s="1"/>
  <c r="I172" i="5" s="1"/>
  <c r="I173" i="5" s="1"/>
  <c r="I174" i="5" s="1"/>
  <c r="I175" i="5" s="1"/>
  <c r="I176" i="5" s="1"/>
  <c r="I177" i="5" s="1"/>
  <c r="I178" i="5" s="1"/>
  <c r="I179" i="5" s="1"/>
  <c r="I180" i="5" s="1"/>
  <c r="I181" i="5" s="1"/>
  <c r="I182" i="5" s="1"/>
  <c r="I183" i="5" s="1"/>
  <c r="I184" i="5" s="1"/>
  <c r="I185" i="5" s="1"/>
  <c r="I186" i="5" s="1"/>
  <c r="I187" i="5" s="1"/>
  <c r="I188" i="5" s="1"/>
  <c r="I189" i="5" s="1"/>
  <c r="I190" i="5" s="1"/>
  <c r="I191" i="5" s="1"/>
  <c r="I192" i="5" s="1"/>
  <c r="I193" i="5" s="1"/>
  <c r="I194" i="5" s="1"/>
  <c r="I195" i="5" s="1"/>
  <c r="I196" i="5" s="1"/>
  <c r="I197" i="5" s="1"/>
  <c r="I198" i="5" s="1"/>
  <c r="I199" i="5" s="1"/>
  <c r="I200" i="5" s="1"/>
  <c r="I201" i="5" s="1"/>
  <c r="I202" i="5" s="1"/>
  <c r="I203" i="5" s="1"/>
  <c r="I204" i="5" s="1"/>
  <c r="I205" i="5" s="1"/>
  <c r="I206" i="5" s="1"/>
  <c r="I207" i="5" s="1"/>
  <c r="I208" i="5" s="1"/>
  <c r="I209" i="5" s="1"/>
  <c r="I210" i="5" s="1"/>
  <c r="I211" i="5" s="1"/>
  <c r="I212" i="5" s="1"/>
  <c r="I213" i="5" s="1"/>
  <c r="I214" i="5" s="1"/>
  <c r="I215" i="5" s="1"/>
  <c r="I216" i="5" s="1"/>
  <c r="I217" i="5" s="1"/>
  <c r="I218" i="5" s="1"/>
  <c r="I219" i="5" s="1"/>
  <c r="I220" i="5" s="1"/>
  <c r="I221" i="5" s="1"/>
  <c r="I222" i="5" s="1"/>
  <c r="I223" i="5" s="1"/>
  <c r="I224" i="5" s="1"/>
  <c r="I225" i="5" s="1"/>
  <c r="I226" i="5" s="1"/>
  <c r="I227" i="5" s="1"/>
  <c r="I228" i="5" s="1"/>
  <c r="I229" i="5" s="1"/>
  <c r="I230" i="5" s="1"/>
  <c r="I231" i="5" s="1"/>
  <c r="I232" i="5" s="1"/>
  <c r="I233" i="5" s="1"/>
  <c r="I234" i="5" s="1"/>
  <c r="I235" i="5" s="1"/>
  <c r="I236" i="5" s="1"/>
  <c r="I237" i="5" s="1"/>
  <c r="I238" i="5" s="1"/>
  <c r="I239" i="5" s="1"/>
  <c r="I240" i="5" s="1"/>
  <c r="I241" i="5" s="1"/>
  <c r="I242" i="5" s="1"/>
  <c r="I243" i="5" s="1"/>
  <c r="I244" i="5" s="1"/>
  <c r="I245" i="5" s="1"/>
  <c r="I246" i="5" s="1"/>
  <c r="I247" i="5" s="1"/>
  <c r="I248" i="5" s="1"/>
  <c r="I249" i="5" s="1"/>
  <c r="I250" i="5" s="1"/>
  <c r="I251" i="5" s="1"/>
  <c r="H2" i="5"/>
  <c r="G11" i="2"/>
  <c r="G3" i="5"/>
  <c r="G4" i="5" s="1"/>
  <c r="G5" i="5" s="1"/>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G40" i="5" s="1"/>
  <c r="G41" i="5" s="1"/>
  <c r="G42" i="5" s="1"/>
  <c r="G43" i="5" s="1"/>
  <c r="G44" i="5" s="1"/>
  <c r="G45" i="5" s="1"/>
  <c r="G46" i="5" s="1"/>
  <c r="G47" i="5" s="1"/>
  <c r="G48" i="5" s="1"/>
  <c r="G49" i="5" s="1"/>
  <c r="G50" i="5" s="1"/>
  <c r="G51" i="5" s="1"/>
  <c r="G52" i="5" s="1"/>
  <c r="G53" i="5" s="1"/>
  <c r="G54" i="5" s="1"/>
  <c r="G55" i="5" s="1"/>
  <c r="G56" i="5" s="1"/>
  <c r="G57" i="5" s="1"/>
  <c r="G58" i="5" s="1"/>
  <c r="G59" i="5" s="1"/>
  <c r="G60" i="5" s="1"/>
  <c r="G61" i="5" s="1"/>
  <c r="G62" i="5" s="1"/>
  <c r="G63" i="5" s="1"/>
  <c r="G64" i="5" s="1"/>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G87" i="5" s="1"/>
  <c r="G88" i="5" s="1"/>
  <c r="G89" i="5" s="1"/>
  <c r="G90" i="5" s="1"/>
  <c r="G91" i="5" s="1"/>
  <c r="G92" i="5" s="1"/>
  <c r="G93" i="5" s="1"/>
  <c r="G94" i="5" s="1"/>
  <c r="G95" i="5" s="1"/>
  <c r="G96" i="5" s="1"/>
  <c r="G97" i="5" s="1"/>
  <c r="G98" i="5" s="1"/>
  <c r="G99" i="5" s="1"/>
  <c r="G100" i="5" s="1"/>
  <c r="G101" i="5" s="1"/>
  <c r="G102" i="5" s="1"/>
  <c r="G103" i="5" s="1"/>
  <c r="G104" i="5" s="1"/>
  <c r="G105" i="5" s="1"/>
  <c r="G106" i="5" s="1"/>
  <c r="G107" i="5" s="1"/>
  <c r="G108" i="5" s="1"/>
  <c r="G109" i="5" s="1"/>
  <c r="G110" i="5" s="1"/>
  <c r="G111" i="5" s="1"/>
  <c r="G112" i="5" s="1"/>
  <c r="G113" i="5" s="1"/>
  <c r="G114" i="5" s="1"/>
  <c r="G115" i="5" s="1"/>
  <c r="G116" i="5" s="1"/>
  <c r="G117" i="5" s="1"/>
  <c r="G118" i="5" s="1"/>
  <c r="G119" i="5" s="1"/>
  <c r="G120" i="5" s="1"/>
  <c r="G121" i="5" s="1"/>
  <c r="G122" i="5" s="1"/>
  <c r="G123" i="5" s="1"/>
  <c r="G124" i="5" s="1"/>
  <c r="G125" i="5" s="1"/>
  <c r="G126" i="5" s="1"/>
  <c r="G127" i="5" s="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 r="G150" i="5" s="1"/>
  <c r="G151" i="5" s="1"/>
  <c r="G152" i="5" s="1"/>
  <c r="G153" i="5" s="1"/>
  <c r="G154" i="5" s="1"/>
  <c r="G155" i="5" s="1"/>
  <c r="G156" i="5" s="1"/>
  <c r="G157" i="5" s="1"/>
  <c r="G158" i="5" s="1"/>
  <c r="G159" i="5" s="1"/>
  <c r="G160" i="5" s="1"/>
  <c r="G161" i="5" s="1"/>
  <c r="G162" i="5" s="1"/>
  <c r="G163" i="5" s="1"/>
  <c r="G164" i="5" s="1"/>
  <c r="G165" i="5" s="1"/>
  <c r="G166" i="5" s="1"/>
  <c r="G167" i="5" s="1"/>
  <c r="G168" i="5" s="1"/>
  <c r="G169" i="5" s="1"/>
  <c r="G170" i="5" s="1"/>
  <c r="G171" i="5" s="1"/>
  <c r="G172" i="5" s="1"/>
  <c r="G173" i="5" s="1"/>
  <c r="G174" i="5" s="1"/>
  <c r="G175" i="5" s="1"/>
  <c r="G176" i="5" s="1"/>
  <c r="G177" i="5" s="1"/>
  <c r="G178" i="5" s="1"/>
  <c r="G179" i="5" s="1"/>
  <c r="G180" i="5" s="1"/>
  <c r="G181" i="5" s="1"/>
  <c r="G182" i="5" s="1"/>
  <c r="G183" i="5" s="1"/>
  <c r="G184" i="5" s="1"/>
  <c r="G185" i="5" s="1"/>
  <c r="G186" i="5" s="1"/>
  <c r="G187" i="5" s="1"/>
  <c r="G188" i="5" s="1"/>
  <c r="G189" i="5" s="1"/>
  <c r="G190" i="5" s="1"/>
  <c r="G191" i="5" s="1"/>
  <c r="G192" i="5" s="1"/>
  <c r="G193" i="5" s="1"/>
  <c r="G194" i="5" s="1"/>
  <c r="G195" i="5" s="1"/>
  <c r="G196" i="5" s="1"/>
  <c r="G197" i="5" s="1"/>
  <c r="G198" i="5" s="1"/>
  <c r="G199" i="5" s="1"/>
  <c r="G200" i="5" s="1"/>
  <c r="G201" i="5" s="1"/>
  <c r="G202" i="5" s="1"/>
  <c r="G203" i="5" s="1"/>
  <c r="G204" i="5" s="1"/>
  <c r="G205" i="5" s="1"/>
  <c r="G206" i="5" s="1"/>
  <c r="G207" i="5" s="1"/>
  <c r="G208" i="5" s="1"/>
  <c r="G209" i="5" s="1"/>
  <c r="G210" i="5" s="1"/>
  <c r="G211" i="5" s="1"/>
  <c r="G212" i="5" s="1"/>
  <c r="G213" i="5" s="1"/>
  <c r="G214" i="5" s="1"/>
  <c r="G215" i="5" s="1"/>
  <c r="G216" i="5" s="1"/>
  <c r="G217" i="5" s="1"/>
  <c r="G218" i="5" s="1"/>
  <c r="G219" i="5" s="1"/>
  <c r="G220" i="5" s="1"/>
  <c r="G221" i="5" s="1"/>
  <c r="G222" i="5" s="1"/>
  <c r="G223" i="5" s="1"/>
  <c r="G224" i="5" s="1"/>
  <c r="G225" i="5" s="1"/>
  <c r="G226" i="5" s="1"/>
  <c r="G227" i="5" s="1"/>
  <c r="G228" i="5" s="1"/>
  <c r="G229" i="5" s="1"/>
  <c r="G230" i="5" s="1"/>
  <c r="G231" i="5" s="1"/>
  <c r="G232" i="5" s="1"/>
  <c r="G233" i="5" s="1"/>
  <c r="G234" i="5" s="1"/>
  <c r="G235" i="5" s="1"/>
  <c r="G236" i="5" s="1"/>
  <c r="G237" i="5" s="1"/>
  <c r="G238" i="5" s="1"/>
  <c r="G239" i="5" s="1"/>
  <c r="G240" i="5" s="1"/>
  <c r="G241" i="5" s="1"/>
  <c r="G242" i="5" s="1"/>
  <c r="G243" i="5" s="1"/>
  <c r="G244" i="5" s="1"/>
  <c r="G245" i="5" s="1"/>
  <c r="G246" i="5" s="1"/>
  <c r="G247" i="5" s="1"/>
  <c r="G248" i="5" s="1"/>
  <c r="G249" i="5" s="1"/>
  <c r="G250" i="5" s="1"/>
  <c r="G251" i="5" s="1"/>
  <c r="O4" i="1" a="1"/>
  <c r="G18" i="2"/>
  <c r="A2" i="5"/>
  <c r="F2" i="5"/>
  <c r="F5" i="1"/>
  <c r="F4" i="1"/>
  <c r="S2" i="3" a="1"/>
  <c r="O4" i="1" l="1"/>
  <c r="S2" i="3"/>
  <c r="AA2" i="5" l="1" a="1"/>
  <c r="AA2" i="5" s="1"/>
  <c r="G10" i="2" l="1"/>
  <c r="G7" i="2"/>
  <c r="G6" i="2"/>
  <c r="G8" i="2"/>
  <c r="G12" i="2"/>
  <c r="G5" i="2"/>
  <c r="G17" i="2"/>
  <c r="G4" i="2"/>
  <c r="G13" i="2"/>
  <c r="G15" i="2"/>
  <c r="G14" i="2"/>
  <c r="G3" i="2"/>
  <c r="G9" i="2"/>
  <c r="G2" i="2"/>
  <c r="B1" i="3" a="1"/>
  <c r="C2" i="3" a="1"/>
  <c r="R4" i="1" l="1" a="1"/>
  <c r="R4" i="1" s="1"/>
  <c r="R18" i="1"/>
  <c r="A2" i="8" a="1"/>
  <c r="C2" i="3"/>
  <c r="F6" i="1"/>
  <c r="B1" i="3"/>
  <c r="L2" i="3" a="1"/>
  <c r="O2" i="3" a="1"/>
  <c r="F2" i="3" a="1"/>
  <c r="H2" i="3" a="1"/>
  <c r="M2" i="3" a="1"/>
  <c r="R2" i="3" a="1"/>
  <c r="K2" i="3" a="1"/>
  <c r="N2" i="3" a="1"/>
  <c r="E2" i="3" a="1"/>
  <c r="P2" i="3" a="1"/>
  <c r="I2" i="3" a="1"/>
  <c r="G2" i="3" a="1"/>
  <c r="Q2" i="3" a="1"/>
  <c r="D2" i="3" a="1"/>
  <c r="J2" i="3" a="1"/>
  <c r="B2" i="3" a="1"/>
  <c r="R16" i="1" l="1"/>
  <c r="R17" i="1"/>
  <c r="F2" i="3"/>
  <c r="R2" i="3"/>
  <c r="M2" i="3"/>
  <c r="J2" i="3"/>
  <c r="N2" i="3"/>
  <c r="Q2" i="3"/>
  <c r="E2" i="3"/>
  <c r="D2" i="3"/>
  <c r="P2" i="3"/>
  <c r="I2" i="3"/>
  <c r="L2" i="3"/>
  <c r="K2" i="3"/>
  <c r="H2" i="3"/>
  <c r="O2" i="3"/>
  <c r="G2" i="3"/>
  <c r="A2" i="8"/>
  <c r="B2" i="3"/>
  <c r="J1" i="5" a="1"/>
  <c r="O2" i="5" l="1" a="1"/>
  <c r="O2" i="5" s="1"/>
  <c r="N2" i="5" a="1"/>
  <c r="N2" i="5" s="1"/>
  <c r="U2" i="5" a="1"/>
  <c r="U2" i="5" s="1"/>
  <c r="S2" i="5" a="1"/>
  <c r="S2" i="5" s="1"/>
  <c r="P2" i="5" a="1"/>
  <c r="P2" i="5" s="1"/>
  <c r="Q2" i="5" a="1"/>
  <c r="Q2" i="5" s="1"/>
  <c r="W2" i="5" a="1"/>
  <c r="W2" i="5" s="1"/>
  <c r="Y2" i="5" a="1"/>
  <c r="Y2" i="5" s="1"/>
  <c r="K2" i="5" a="1"/>
  <c r="K2" i="5" s="1"/>
  <c r="T2" i="5" a="1"/>
  <c r="T2" i="5" s="1"/>
  <c r="R2" i="5" a="1"/>
  <c r="R2" i="5" s="1"/>
  <c r="M2" i="5" a="1"/>
  <c r="M2" i="5" s="1"/>
  <c r="V2" i="5" a="1"/>
  <c r="V2" i="5" s="1"/>
  <c r="L2" i="5" a="1"/>
  <c r="L2" i="5" s="1"/>
  <c r="Z2" i="5" a="1"/>
  <c r="Z2" i="5" s="1"/>
  <c r="J1" i="5"/>
  <c r="J2" i="5" s="1" a="1"/>
  <c r="J2" i="5" s="1"/>
  <c r="X2" i="5" a="1"/>
  <c r="X2" i="5" s="1"/>
  <c r="B2" i="5" l="1" a="1"/>
  <c r="C3" i="5" s="1"/>
  <c r="B2" i="5" l="1"/>
  <c r="F13" i="1" s="1" a="1"/>
  <c r="F13" i="1" s="1"/>
  <c r="K4" i="1" l="1"/>
  <c r="K6" i="1" a="1"/>
  <c r="K6" i="1" s="1"/>
  <c r="K5" i="1"/>
  <c r="C4" i="5"/>
  <c r="D3" i="5"/>
  <c r="F12" i="1" l="1"/>
  <c r="D4" i="5"/>
  <c r="E4" i="5" s="1"/>
  <c r="C5" i="5"/>
  <c r="E3" i="5"/>
  <c r="D5" i="5" l="1"/>
  <c r="E5" i="5" s="1"/>
  <c r="C6" i="5"/>
  <c r="C7" i="5" l="1"/>
  <c r="D6" i="5"/>
  <c r="D7" i="5" l="1"/>
  <c r="E7" i="5" s="1"/>
  <c r="E6" i="5"/>
  <c r="C8" i="5"/>
  <c r="D8" i="5" l="1"/>
  <c r="E8" i="5" s="1"/>
  <c r="C9" i="5"/>
  <c r="D9" i="5" l="1"/>
  <c r="E9" i="5" s="1"/>
  <c r="C10" i="5"/>
  <c r="C11" i="5" l="1"/>
  <c r="D10" i="5"/>
  <c r="D11" i="5" l="1"/>
  <c r="E11" i="5" s="1"/>
  <c r="E10" i="5"/>
  <c r="C12" i="5"/>
  <c r="C13" i="5" l="1"/>
  <c r="D12" i="5"/>
  <c r="D13" i="5" l="1"/>
  <c r="E13" i="5" s="1"/>
  <c r="E12" i="5"/>
  <c r="C14" i="5"/>
  <c r="D14" i="5" l="1"/>
  <c r="E14" i="5" s="1"/>
  <c r="C15" i="5"/>
  <c r="D15" i="5" l="1"/>
  <c r="E15" i="5" s="1"/>
  <c r="C16" i="5"/>
  <c r="C17" i="5" l="1"/>
  <c r="D16" i="5"/>
  <c r="D17" i="5" l="1"/>
  <c r="E17" i="5" s="1"/>
  <c r="E16" i="5"/>
  <c r="C18" i="5"/>
  <c r="C19" i="5" l="1"/>
  <c r="D18" i="5"/>
  <c r="D19" i="5" l="1"/>
  <c r="E19" i="5" s="1"/>
  <c r="E18" i="5"/>
  <c r="C20" i="5"/>
  <c r="C21" i="5" l="1"/>
  <c r="D20" i="5"/>
  <c r="D21" i="5" l="1"/>
  <c r="E21" i="5" s="1"/>
  <c r="E20" i="5"/>
  <c r="C22" i="5"/>
  <c r="C23" i="5" l="1"/>
  <c r="D22" i="5"/>
  <c r="D23" i="5" l="1"/>
  <c r="E23" i="5" s="1"/>
  <c r="E22" i="5"/>
  <c r="C24" i="5"/>
  <c r="C25" i="5" l="1"/>
  <c r="D24" i="5"/>
  <c r="D25" i="5" l="1"/>
  <c r="E25" i="5" s="1"/>
  <c r="E24" i="5"/>
  <c r="C26" i="5"/>
  <c r="C27" i="5" l="1"/>
  <c r="D26" i="5"/>
  <c r="D27" i="5" l="1"/>
  <c r="E27" i="5" s="1"/>
  <c r="E26" i="5"/>
  <c r="C28" i="5"/>
  <c r="C29" i="5" l="1"/>
  <c r="D28" i="5"/>
  <c r="D29" i="5" l="1"/>
  <c r="E29" i="5" s="1"/>
  <c r="E28" i="5"/>
  <c r="C30" i="5"/>
  <c r="C31" i="5" l="1"/>
  <c r="D30" i="5"/>
  <c r="D31" i="5" l="1"/>
  <c r="E31" i="5" s="1"/>
  <c r="E30" i="5"/>
  <c r="C32" i="5"/>
  <c r="C33" i="5" l="1"/>
  <c r="D32" i="5"/>
  <c r="D33" i="5" l="1"/>
  <c r="E33" i="5" s="1"/>
  <c r="E32" i="5"/>
  <c r="C34" i="5"/>
  <c r="C35" i="5" l="1"/>
  <c r="D34" i="5"/>
  <c r="D35" i="5" l="1"/>
  <c r="E35" i="5" s="1"/>
  <c r="E34" i="5"/>
  <c r="C36" i="5"/>
  <c r="C37" i="5" l="1"/>
  <c r="D36" i="5"/>
  <c r="D37" i="5" l="1"/>
  <c r="E37" i="5" s="1"/>
  <c r="E36" i="5"/>
  <c r="C38" i="5"/>
  <c r="C39" i="5" l="1"/>
  <c r="D38" i="5"/>
  <c r="D39" i="5" l="1"/>
  <c r="E39" i="5" s="1"/>
  <c r="E38" i="5"/>
  <c r="C40" i="5"/>
  <c r="C41" i="5" l="1"/>
  <c r="D40" i="5"/>
  <c r="D41" i="5" l="1"/>
  <c r="E41" i="5" s="1"/>
  <c r="E40" i="5"/>
  <c r="C42" i="5"/>
  <c r="C43" i="5" l="1"/>
  <c r="D42" i="5"/>
  <c r="D43" i="5" l="1"/>
  <c r="E43" i="5" s="1"/>
  <c r="E42" i="5"/>
  <c r="C44" i="5"/>
  <c r="C45" i="5" l="1"/>
  <c r="D44" i="5"/>
  <c r="D45" i="5" l="1"/>
  <c r="E45" i="5" s="1"/>
  <c r="E44" i="5"/>
  <c r="C46" i="5"/>
  <c r="C47" i="5" l="1"/>
  <c r="D46" i="5"/>
  <c r="D47" i="5" l="1"/>
  <c r="E47" i="5" s="1"/>
  <c r="E46" i="5"/>
  <c r="C48" i="5"/>
  <c r="C49" i="5" l="1"/>
  <c r="D48" i="5"/>
  <c r="D49" i="5" l="1"/>
  <c r="E49" i="5" s="1"/>
  <c r="E48" i="5"/>
  <c r="C50" i="5"/>
  <c r="C51" i="5" l="1"/>
  <c r="D50" i="5"/>
  <c r="D51" i="5" l="1"/>
  <c r="E51" i="5" s="1"/>
  <c r="E50" i="5"/>
  <c r="C52" i="5"/>
  <c r="C53" i="5" l="1"/>
  <c r="D52" i="5"/>
  <c r="D53" i="5" l="1"/>
  <c r="E53" i="5" s="1"/>
  <c r="E52" i="5"/>
  <c r="C54" i="5"/>
  <c r="C55" i="5" l="1"/>
  <c r="D54" i="5"/>
  <c r="D55" i="5" l="1"/>
  <c r="E55" i="5" s="1"/>
  <c r="E54" i="5"/>
  <c r="C56" i="5"/>
  <c r="C57" i="5" l="1"/>
  <c r="D56" i="5"/>
  <c r="D57" i="5" l="1"/>
  <c r="E57" i="5" s="1"/>
  <c r="E56" i="5"/>
  <c r="C58" i="5"/>
  <c r="C59" i="5" l="1"/>
  <c r="D58" i="5"/>
  <c r="D59" i="5" l="1"/>
  <c r="E59" i="5" s="1"/>
  <c r="E58" i="5"/>
  <c r="C60" i="5"/>
  <c r="C61" i="5" l="1"/>
  <c r="D60" i="5"/>
  <c r="D61" i="5" l="1"/>
  <c r="E61" i="5" s="1"/>
  <c r="E60" i="5"/>
  <c r="C62" i="5"/>
  <c r="C63" i="5" l="1"/>
  <c r="D62" i="5"/>
  <c r="D63" i="5" l="1"/>
  <c r="E63" i="5" s="1"/>
  <c r="E62" i="5"/>
  <c r="C64" i="5"/>
  <c r="C65" i="5" l="1"/>
  <c r="D64" i="5"/>
  <c r="D65" i="5" l="1"/>
  <c r="E65" i="5" s="1"/>
  <c r="E64" i="5"/>
  <c r="C66" i="5"/>
  <c r="C67" i="5" l="1"/>
  <c r="D66" i="5"/>
  <c r="D67" i="5" l="1"/>
  <c r="E67" i="5" s="1"/>
  <c r="E66" i="5"/>
  <c r="C68" i="5"/>
  <c r="C69" i="5" l="1"/>
  <c r="D68" i="5"/>
  <c r="D69" i="5" l="1"/>
  <c r="E69" i="5" s="1"/>
  <c r="E68" i="5"/>
  <c r="C70" i="5"/>
  <c r="C71" i="5" l="1"/>
  <c r="D70" i="5"/>
  <c r="D71" i="5" l="1"/>
  <c r="E71" i="5" s="1"/>
  <c r="E70" i="5"/>
  <c r="C72" i="5"/>
  <c r="C73" i="5" l="1"/>
  <c r="D72" i="5"/>
  <c r="D73" i="5" l="1"/>
  <c r="E73" i="5" s="1"/>
  <c r="E72" i="5"/>
  <c r="C74" i="5"/>
  <c r="C75" i="5" l="1"/>
  <c r="D74" i="5"/>
  <c r="D75" i="5" l="1"/>
  <c r="E75" i="5" s="1"/>
  <c r="E74" i="5"/>
  <c r="C76" i="5"/>
  <c r="C77" i="5" l="1"/>
  <c r="D76" i="5"/>
  <c r="D77" i="5" l="1"/>
  <c r="E77" i="5" s="1"/>
  <c r="E76" i="5"/>
  <c r="C78" i="5"/>
  <c r="C79" i="5" l="1"/>
  <c r="D78" i="5"/>
  <c r="D79" i="5" l="1"/>
  <c r="E79" i="5" s="1"/>
  <c r="E78" i="5"/>
  <c r="C80" i="5"/>
  <c r="C81" i="5" l="1"/>
  <c r="D80" i="5"/>
  <c r="D81" i="5" l="1"/>
  <c r="E81" i="5" s="1"/>
  <c r="E80" i="5"/>
  <c r="C82" i="5"/>
  <c r="C83" i="5" l="1"/>
  <c r="D82" i="5"/>
  <c r="D83" i="5" l="1"/>
  <c r="E83" i="5" s="1"/>
  <c r="E82" i="5"/>
  <c r="C84" i="5"/>
  <c r="C85" i="5" l="1"/>
  <c r="D84" i="5"/>
  <c r="D85" i="5" l="1"/>
  <c r="E85" i="5" s="1"/>
  <c r="E84" i="5"/>
  <c r="C86" i="5"/>
  <c r="C87" i="5" l="1"/>
  <c r="D86" i="5"/>
  <c r="D87" i="5" l="1"/>
  <c r="E87" i="5" s="1"/>
  <c r="E86" i="5"/>
  <c r="C88" i="5"/>
  <c r="C89" i="5" l="1"/>
  <c r="D88" i="5"/>
  <c r="D89" i="5" l="1"/>
  <c r="E89" i="5" s="1"/>
  <c r="E88" i="5"/>
  <c r="C90" i="5"/>
  <c r="C91" i="5" l="1"/>
  <c r="D90" i="5"/>
  <c r="D91" i="5" l="1"/>
  <c r="E91" i="5" s="1"/>
  <c r="E90" i="5"/>
  <c r="C92" i="5"/>
  <c r="C93" i="5" l="1"/>
  <c r="D92" i="5"/>
  <c r="D93" i="5" l="1"/>
  <c r="E93" i="5" s="1"/>
  <c r="E92" i="5"/>
  <c r="C94" i="5"/>
  <c r="C95" i="5" l="1"/>
  <c r="D94" i="5"/>
  <c r="D95" i="5" l="1"/>
  <c r="E95" i="5" s="1"/>
  <c r="E94" i="5"/>
  <c r="C96" i="5"/>
  <c r="C97" i="5" l="1"/>
  <c r="D96" i="5"/>
  <c r="D97" i="5" l="1"/>
  <c r="E97" i="5" s="1"/>
  <c r="E96" i="5"/>
  <c r="C98" i="5"/>
  <c r="C99" i="5" l="1"/>
  <c r="D98" i="5"/>
  <c r="D99" i="5" l="1"/>
  <c r="E99" i="5" s="1"/>
  <c r="E98" i="5"/>
  <c r="C100" i="5"/>
  <c r="C101" i="5" l="1"/>
  <c r="D100" i="5"/>
  <c r="D101" i="5" l="1"/>
  <c r="E101" i="5" s="1"/>
  <c r="E100" i="5"/>
  <c r="C102" i="5"/>
  <c r="C103" i="5" l="1"/>
  <c r="D102" i="5"/>
  <c r="D103" i="5" l="1"/>
  <c r="E103" i="5" s="1"/>
  <c r="E102" i="5"/>
  <c r="C104" i="5"/>
  <c r="C105" i="5" l="1"/>
  <c r="D104" i="5"/>
  <c r="D105" i="5" l="1"/>
  <c r="E105" i="5" s="1"/>
  <c r="E104" i="5"/>
  <c r="C106" i="5"/>
  <c r="C107" i="5" l="1"/>
  <c r="D106" i="5"/>
  <c r="D107" i="5" l="1"/>
  <c r="E107" i="5" s="1"/>
  <c r="E106" i="5"/>
  <c r="C108" i="5"/>
  <c r="C109" i="5" l="1"/>
  <c r="D108" i="5"/>
  <c r="D109" i="5" l="1"/>
  <c r="E109" i="5" s="1"/>
  <c r="E108" i="5"/>
  <c r="C110" i="5"/>
  <c r="C111" i="5" l="1"/>
  <c r="D110" i="5"/>
  <c r="D111" i="5" l="1"/>
  <c r="E111" i="5" s="1"/>
  <c r="E110" i="5"/>
  <c r="C112" i="5"/>
  <c r="C113" i="5" l="1"/>
  <c r="D112" i="5"/>
  <c r="D113" i="5" l="1"/>
  <c r="E113" i="5" s="1"/>
  <c r="E112" i="5"/>
  <c r="C114" i="5"/>
  <c r="C115" i="5" l="1"/>
  <c r="D114" i="5"/>
  <c r="D115" i="5" l="1"/>
  <c r="E115" i="5" s="1"/>
  <c r="E114" i="5"/>
  <c r="C116" i="5"/>
  <c r="C117" i="5" l="1"/>
  <c r="D116" i="5"/>
  <c r="D117" i="5" l="1"/>
  <c r="E117" i="5" s="1"/>
  <c r="E116" i="5"/>
  <c r="C118" i="5"/>
  <c r="C119" i="5" l="1"/>
  <c r="D118" i="5"/>
  <c r="D119" i="5" l="1"/>
  <c r="E119" i="5" s="1"/>
  <c r="E118" i="5"/>
  <c r="C120" i="5"/>
  <c r="C121" i="5" l="1"/>
  <c r="D120" i="5"/>
  <c r="D121" i="5" l="1"/>
  <c r="E121" i="5" s="1"/>
  <c r="E120" i="5"/>
  <c r="C122" i="5"/>
  <c r="C123" i="5" l="1"/>
  <c r="D122" i="5"/>
  <c r="D123" i="5" l="1"/>
  <c r="E123" i="5" s="1"/>
  <c r="E122" i="5"/>
  <c r="C124" i="5"/>
  <c r="C125" i="5" l="1"/>
  <c r="D124" i="5"/>
  <c r="D125" i="5" l="1"/>
  <c r="E125" i="5" s="1"/>
  <c r="E124" i="5"/>
  <c r="C126" i="5"/>
  <c r="C127" i="5" l="1"/>
  <c r="D126" i="5"/>
  <c r="D127" i="5" l="1"/>
  <c r="E127" i="5" s="1"/>
  <c r="E126" i="5"/>
  <c r="C128" i="5"/>
  <c r="C129" i="5" l="1"/>
  <c r="D128" i="5"/>
  <c r="D129" i="5" l="1"/>
  <c r="E129" i="5" s="1"/>
  <c r="E128" i="5"/>
  <c r="C130" i="5"/>
  <c r="C131" i="5" l="1"/>
  <c r="D130" i="5"/>
  <c r="D131" i="5" l="1"/>
  <c r="E131" i="5" s="1"/>
  <c r="E130" i="5"/>
  <c r="C132" i="5"/>
  <c r="C133" i="5" l="1"/>
  <c r="D132" i="5"/>
  <c r="D133" i="5" l="1"/>
  <c r="E133" i="5" s="1"/>
  <c r="E132" i="5"/>
  <c r="C134" i="5"/>
  <c r="C135" i="5" l="1"/>
  <c r="D134" i="5"/>
  <c r="D135" i="5" l="1"/>
  <c r="E135" i="5" s="1"/>
  <c r="E134" i="5"/>
  <c r="C136" i="5"/>
  <c r="C137" i="5" l="1"/>
  <c r="D136" i="5"/>
  <c r="D137" i="5" l="1"/>
  <c r="E137" i="5" s="1"/>
  <c r="E136" i="5"/>
  <c r="C138" i="5"/>
  <c r="C139" i="5" l="1"/>
  <c r="D138" i="5"/>
  <c r="D139" i="5" l="1"/>
  <c r="E139" i="5" s="1"/>
  <c r="E138" i="5"/>
  <c r="C140" i="5"/>
  <c r="C141" i="5" l="1"/>
  <c r="D140" i="5"/>
  <c r="D141" i="5" l="1"/>
  <c r="E141" i="5" s="1"/>
  <c r="E140" i="5"/>
  <c r="C142" i="5"/>
  <c r="C143" i="5" l="1"/>
  <c r="D142" i="5"/>
  <c r="D143" i="5" l="1"/>
  <c r="E143" i="5" s="1"/>
  <c r="E142" i="5"/>
  <c r="C144" i="5"/>
  <c r="C145" i="5" l="1"/>
  <c r="D144" i="5"/>
  <c r="D145" i="5" l="1"/>
  <c r="E145" i="5" s="1"/>
  <c r="E144" i="5"/>
  <c r="C146" i="5"/>
  <c r="C147" i="5" l="1"/>
  <c r="D146" i="5"/>
  <c r="D147" i="5" l="1"/>
  <c r="E147" i="5" s="1"/>
  <c r="E146" i="5"/>
  <c r="C148" i="5"/>
  <c r="C149" i="5" l="1"/>
  <c r="D148" i="5"/>
  <c r="D149" i="5" l="1"/>
  <c r="E149" i="5" s="1"/>
  <c r="E148" i="5"/>
  <c r="C150" i="5"/>
  <c r="C151" i="5" l="1"/>
  <c r="D150" i="5"/>
  <c r="D151" i="5" l="1"/>
  <c r="E151" i="5" s="1"/>
  <c r="E150" i="5"/>
  <c r="C152" i="5"/>
  <c r="C153" i="5" l="1"/>
  <c r="D152" i="5"/>
  <c r="D153" i="5" l="1"/>
  <c r="E153" i="5" s="1"/>
  <c r="E152" i="5"/>
  <c r="C154" i="5"/>
  <c r="C155" i="5" l="1"/>
  <c r="D154" i="5"/>
  <c r="D155" i="5" l="1"/>
  <c r="E155" i="5" s="1"/>
  <c r="E154" i="5"/>
  <c r="C156" i="5"/>
  <c r="C157" i="5" l="1"/>
  <c r="D156" i="5"/>
  <c r="D157" i="5" l="1"/>
  <c r="E157" i="5" s="1"/>
  <c r="E156" i="5"/>
  <c r="C158" i="5"/>
  <c r="C159" i="5" l="1"/>
  <c r="D158" i="5"/>
  <c r="D159" i="5" l="1"/>
  <c r="E159" i="5" s="1"/>
  <c r="E158" i="5"/>
  <c r="C160" i="5"/>
  <c r="C161" i="5" l="1"/>
  <c r="D160" i="5"/>
  <c r="D161" i="5" l="1"/>
  <c r="E161" i="5" s="1"/>
  <c r="E160" i="5"/>
  <c r="C162" i="5"/>
  <c r="C163" i="5" l="1"/>
  <c r="D162" i="5"/>
  <c r="D163" i="5" l="1"/>
  <c r="E163" i="5" s="1"/>
  <c r="E162" i="5"/>
  <c r="C164" i="5"/>
  <c r="C165" i="5" l="1"/>
  <c r="D164" i="5"/>
  <c r="D165" i="5" l="1"/>
  <c r="E165" i="5" s="1"/>
  <c r="E164" i="5"/>
  <c r="C166" i="5"/>
  <c r="C167" i="5" l="1"/>
  <c r="D166" i="5"/>
  <c r="D167" i="5" l="1"/>
  <c r="E167" i="5" s="1"/>
  <c r="E166" i="5"/>
  <c r="C168" i="5"/>
  <c r="C169" i="5" l="1"/>
  <c r="D168" i="5"/>
  <c r="D169" i="5" l="1"/>
  <c r="E169" i="5" s="1"/>
  <c r="E168" i="5"/>
  <c r="C170" i="5"/>
  <c r="C171" i="5" l="1"/>
  <c r="D170" i="5"/>
  <c r="D171" i="5" l="1"/>
  <c r="E171" i="5" s="1"/>
  <c r="E170" i="5"/>
  <c r="C172" i="5"/>
  <c r="C173" i="5" l="1"/>
  <c r="D172" i="5"/>
  <c r="D173" i="5" l="1"/>
  <c r="E173" i="5" s="1"/>
  <c r="E172" i="5"/>
  <c r="C174" i="5"/>
  <c r="C175" i="5" l="1"/>
  <c r="D174" i="5"/>
  <c r="D175" i="5" l="1"/>
  <c r="E175" i="5" s="1"/>
  <c r="E174" i="5"/>
  <c r="C176" i="5"/>
  <c r="C177" i="5" l="1"/>
  <c r="D176" i="5"/>
  <c r="D177" i="5" l="1"/>
  <c r="E177" i="5" s="1"/>
  <c r="E176" i="5"/>
  <c r="C178" i="5"/>
  <c r="C179" i="5" l="1"/>
  <c r="D178" i="5"/>
  <c r="D179" i="5" l="1"/>
  <c r="E179" i="5" s="1"/>
  <c r="E178" i="5"/>
  <c r="C180" i="5"/>
  <c r="C181" i="5" l="1"/>
  <c r="D180" i="5"/>
  <c r="D181" i="5" l="1"/>
  <c r="E181" i="5" s="1"/>
  <c r="E180" i="5"/>
  <c r="C182" i="5"/>
  <c r="C183" i="5" l="1"/>
  <c r="D182" i="5"/>
  <c r="D183" i="5" l="1"/>
  <c r="E183" i="5" s="1"/>
  <c r="E182" i="5"/>
  <c r="C184" i="5"/>
  <c r="C185" i="5" l="1"/>
  <c r="D184" i="5"/>
  <c r="D185" i="5" l="1"/>
  <c r="E185" i="5" s="1"/>
  <c r="E184" i="5"/>
  <c r="C186" i="5"/>
  <c r="C187" i="5" l="1"/>
  <c r="D186" i="5"/>
  <c r="D187" i="5" l="1"/>
  <c r="E187" i="5" s="1"/>
  <c r="E186" i="5"/>
  <c r="C188" i="5"/>
  <c r="C189" i="5" l="1"/>
  <c r="D188" i="5"/>
  <c r="D189" i="5" l="1"/>
  <c r="E189" i="5" s="1"/>
  <c r="E188" i="5"/>
  <c r="C190" i="5"/>
  <c r="C191" i="5" l="1"/>
  <c r="D190" i="5"/>
  <c r="D191" i="5" l="1"/>
  <c r="E191" i="5" s="1"/>
  <c r="E190" i="5"/>
  <c r="C192" i="5"/>
  <c r="C193" i="5" l="1"/>
  <c r="D192" i="5"/>
  <c r="D193" i="5" l="1"/>
  <c r="E193" i="5" s="1"/>
  <c r="E192" i="5"/>
  <c r="C194" i="5"/>
  <c r="C195" i="5" l="1"/>
  <c r="D194" i="5"/>
  <c r="D195" i="5" l="1"/>
  <c r="E195" i="5" s="1"/>
  <c r="E194" i="5"/>
  <c r="C196" i="5"/>
  <c r="C197" i="5" l="1"/>
  <c r="D196" i="5"/>
  <c r="D197" i="5" l="1"/>
  <c r="E197" i="5" s="1"/>
  <c r="E196" i="5"/>
  <c r="C198" i="5"/>
  <c r="C199" i="5" l="1"/>
  <c r="D198" i="5"/>
  <c r="D199" i="5" l="1"/>
  <c r="E199" i="5" s="1"/>
  <c r="E198" i="5"/>
  <c r="C200" i="5"/>
  <c r="C201" i="5" l="1"/>
  <c r="D200" i="5"/>
  <c r="D201" i="5" l="1"/>
  <c r="E201" i="5" s="1"/>
  <c r="E200" i="5"/>
  <c r="C202" i="5"/>
  <c r="C203" i="5" l="1"/>
  <c r="D202" i="5"/>
  <c r="D203" i="5" l="1"/>
  <c r="E203" i="5" s="1"/>
  <c r="E202" i="5"/>
  <c r="C204" i="5"/>
  <c r="C205" i="5" l="1"/>
  <c r="D204" i="5"/>
  <c r="D205" i="5" l="1"/>
  <c r="E205" i="5" s="1"/>
  <c r="E204" i="5"/>
  <c r="C206" i="5"/>
  <c r="C207" i="5" l="1"/>
  <c r="D206" i="5"/>
  <c r="D207" i="5" l="1"/>
  <c r="E207" i="5" s="1"/>
  <c r="E206" i="5"/>
  <c r="C208" i="5"/>
  <c r="C209" i="5" l="1"/>
  <c r="D208" i="5"/>
  <c r="D209" i="5" l="1"/>
  <c r="E209" i="5" s="1"/>
  <c r="E208" i="5"/>
  <c r="C210" i="5"/>
  <c r="C211" i="5" l="1"/>
  <c r="D210" i="5"/>
  <c r="D211" i="5" l="1"/>
  <c r="E211" i="5" s="1"/>
  <c r="E210" i="5"/>
  <c r="C212" i="5"/>
  <c r="C213" i="5" l="1"/>
  <c r="D212" i="5"/>
  <c r="D213" i="5" l="1"/>
  <c r="E213" i="5" s="1"/>
  <c r="E212" i="5"/>
  <c r="C214" i="5"/>
  <c r="C215" i="5" l="1"/>
  <c r="D214" i="5"/>
  <c r="D215" i="5" l="1"/>
  <c r="E215" i="5" s="1"/>
  <c r="E214" i="5"/>
  <c r="C216" i="5"/>
  <c r="C217" i="5" l="1"/>
  <c r="D216" i="5"/>
  <c r="D217" i="5" l="1"/>
  <c r="E217" i="5" s="1"/>
  <c r="E216" i="5"/>
  <c r="C218" i="5"/>
  <c r="C219" i="5" l="1"/>
  <c r="D218" i="5"/>
  <c r="D219" i="5" l="1"/>
  <c r="E219" i="5" s="1"/>
  <c r="E218" i="5"/>
  <c r="C220" i="5"/>
  <c r="C221" i="5" l="1"/>
  <c r="D220" i="5"/>
  <c r="D221" i="5" l="1"/>
  <c r="E221" i="5" s="1"/>
  <c r="E220" i="5"/>
  <c r="C222" i="5"/>
  <c r="C223" i="5" l="1"/>
  <c r="D222" i="5"/>
  <c r="D223" i="5" l="1"/>
  <c r="E223" i="5" s="1"/>
  <c r="E222" i="5"/>
  <c r="C224" i="5"/>
  <c r="C225" i="5" l="1"/>
  <c r="D224" i="5"/>
  <c r="D225" i="5" l="1"/>
  <c r="E225" i="5" s="1"/>
  <c r="E224" i="5"/>
  <c r="C226" i="5"/>
  <c r="C227" i="5" l="1"/>
  <c r="D226" i="5"/>
  <c r="D227" i="5" l="1"/>
  <c r="E227" i="5" s="1"/>
  <c r="E226" i="5"/>
  <c r="C228" i="5"/>
  <c r="C229" i="5" l="1"/>
  <c r="D228" i="5"/>
  <c r="D229" i="5" l="1"/>
  <c r="E229" i="5" s="1"/>
  <c r="E228" i="5"/>
  <c r="C230" i="5"/>
  <c r="C231" i="5" l="1"/>
  <c r="D230" i="5"/>
  <c r="D231" i="5" l="1"/>
  <c r="E231" i="5" s="1"/>
  <c r="E230" i="5"/>
  <c r="C232" i="5"/>
  <c r="C233" i="5" l="1"/>
  <c r="D232" i="5"/>
  <c r="D233" i="5" l="1"/>
  <c r="E233" i="5" s="1"/>
  <c r="E232" i="5"/>
  <c r="C234" i="5"/>
  <c r="C235" i="5" l="1"/>
  <c r="D234" i="5"/>
  <c r="D235" i="5" l="1"/>
  <c r="E235" i="5" s="1"/>
  <c r="E234" i="5"/>
  <c r="C236" i="5"/>
  <c r="C237" i="5" l="1"/>
  <c r="D236" i="5"/>
  <c r="D237" i="5" l="1"/>
  <c r="E237" i="5" s="1"/>
  <c r="E236" i="5"/>
  <c r="C238" i="5"/>
  <c r="C239" i="5" l="1"/>
  <c r="D238" i="5"/>
  <c r="D239" i="5" l="1"/>
  <c r="E239" i="5" s="1"/>
  <c r="E238" i="5"/>
  <c r="C240" i="5"/>
  <c r="C241" i="5" l="1"/>
  <c r="D240" i="5"/>
  <c r="D241" i="5" l="1"/>
  <c r="E241" i="5" s="1"/>
  <c r="E240" i="5"/>
  <c r="C242" i="5"/>
  <c r="C243" i="5" l="1"/>
  <c r="D242" i="5"/>
  <c r="D243" i="5" l="1"/>
  <c r="E243" i="5" s="1"/>
  <c r="E242" i="5"/>
  <c r="C244" i="5"/>
  <c r="C245" i="5" l="1"/>
  <c r="D244" i="5"/>
  <c r="D245" i="5" l="1"/>
  <c r="E245" i="5" s="1"/>
  <c r="E244" i="5"/>
  <c r="C246" i="5"/>
  <c r="C247" i="5" l="1"/>
  <c r="D246" i="5"/>
  <c r="D247" i="5" l="1"/>
  <c r="E247" i="5" s="1"/>
  <c r="E246" i="5"/>
  <c r="C248" i="5"/>
  <c r="C249" i="5" l="1"/>
  <c r="D248" i="5"/>
  <c r="D249" i="5" l="1"/>
  <c r="E249" i="5" s="1"/>
  <c r="E248" i="5"/>
  <c r="C250" i="5"/>
  <c r="C251" i="5" s="1"/>
  <c r="D250" i="5" l="1"/>
  <c r="D251" i="5" s="1"/>
  <c r="E251" i="5" s="1"/>
  <c r="E250" i="5" l="1"/>
  <c r="K13" i="1" s="1" a="1"/>
  <c r="K13" i="1" s="1"/>
  <c r="K12"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985">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futureMetadata>
  <cellMetadata count="1">
    <bk>
      <rc t="1" v="0"/>
    </bk>
  </cellMetadata>
  <valueMetadata count="398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valueMetadata>
</metadata>
</file>

<file path=xl/sharedStrings.xml><?xml version="1.0" encoding="utf-8"?>
<sst xmlns="http://schemas.openxmlformats.org/spreadsheetml/2006/main" count="54" uniqueCount="43">
  <si>
    <t>Total Active Amount</t>
  </si>
  <si>
    <t>Beta</t>
  </si>
  <si>
    <t>Weight</t>
  </si>
  <si>
    <t>Approx. Total Amount Held</t>
  </si>
  <si>
    <t>Position Size</t>
  </si>
  <si>
    <t>Current Price</t>
  </si>
  <si>
    <t>Industry</t>
  </si>
  <si>
    <t>Ticker</t>
  </si>
  <si>
    <t>Company Name</t>
  </si>
  <si>
    <t>Number of Positions</t>
  </si>
  <si>
    <t>Sharpe Ratio</t>
  </si>
  <si>
    <t>Maximum Drawdown</t>
  </si>
  <si>
    <t>Recovery Time</t>
  </si>
  <si>
    <t>Risk Adjusted Return</t>
  </si>
  <si>
    <t>Overview</t>
  </si>
  <si>
    <t>Tail Risk Analysis</t>
  </si>
  <si>
    <t>Alpha</t>
  </si>
  <si>
    <t>Sortino Ratio</t>
  </si>
  <si>
    <t>Size</t>
  </si>
  <si>
    <t>DATE</t>
  </si>
  <si>
    <t>Annualized Return</t>
  </si>
  <si>
    <t>Risk-free Return*</t>
  </si>
  <si>
    <t>*The risk-free rate is benchmarked against the 3-Month U.S. Treasury Bill rate.</t>
  </si>
  <si>
    <t>Portfolio Risk &amp; Return Analysis</t>
  </si>
  <si>
    <t>September 2026</t>
  </si>
  <si>
    <t>Name</t>
  </si>
  <si>
    <t>Note: This model is created strictly for educational and portfolio demonstration purposes. It does not constitute investment advice or an offer to buy/sell any financial instruments.</t>
  </si>
  <si>
    <t>*The data on this page, as well as the "Prices" and "Returns" sheets,  is derived from historical backtesting as the portfolio has less than one year live porformance history. Past performance, whether actual or backtested, is no guarantee of future results.</t>
  </si>
  <si>
    <t>*Simulated performance has inherent limitations, as it is prepared with the benefit of hindsight.</t>
  </si>
  <si>
    <t>Peak</t>
  </si>
  <si>
    <t>Drawdown</t>
  </si>
  <si>
    <t>Risk Analysis</t>
  </si>
  <si>
    <t>Top 1 Industry Concentration</t>
  </si>
  <si>
    <t>Top 3 Industry Concentration</t>
  </si>
  <si>
    <t>Industry Breakdown</t>
  </si>
  <si>
    <t>HHI Index</t>
  </si>
  <si>
    <t>Portfolio Return</t>
  </si>
  <si>
    <t>Annualized Volatility</t>
  </si>
  <si>
    <t>Benchmark Return (SPY)</t>
  </si>
  <si>
    <t>Cumulative NAV (Portfolio)</t>
  </si>
  <si>
    <t>Cumulative NAV (SPY)</t>
  </si>
  <si>
    <t>Benchmark Return (QQQ)</t>
  </si>
  <si>
    <t>Cumulative NAV (QQQ)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</si>
</sst>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0.00"/>
    <numFmt numFmtId="165" formatCode="0.000_);[Red]\(0.000\)"/>
    <numFmt numFmtId="166" formatCode="0.000"/>
    <numFmt numFmtId="167" formatCode="0.0000"/>
    <numFmt numFmtId="168" formatCode="General\ &quot;days&quot;"/>
  </numFmts>
  <fonts count="20" x14ac:knownFonts="1">
    <font>
      <sz val="12"/>
      <color theme="1"/>
      <name val="Aptos Narrow"/>
      <family val="2"/>
      <scheme val="minor"/>
    </font>
    <font>
      <b/>
      <sz val="12"/>
      <color theme="0"/>
      <name val="Aptos Narrow"/>
      <family val="2"/>
      <scheme val="minor"/>
    </font>
    <font>
      <sz val="12"/>
      <color theme="0"/>
      <name val="Aptos Narrow"/>
      <family val="2"/>
      <scheme val="minor"/>
    </font>
    <font>
      <sz val="12"/>
      <color theme="1"/>
      <name val="Aptos Narrow"/>
      <family val="2"/>
      <charset val="134"/>
      <scheme val="minor"/>
    </font>
    <font>
      <b/>
      <sz val="12"/>
      <color theme="0"/>
      <name val="Aptos Narrow"/>
      <scheme val="minor"/>
    </font>
    <font>
      <sz val="12"/>
      <color theme="1"/>
      <name val="Aptos Narrow"/>
      <scheme val="minor"/>
    </font>
    <font>
      <sz val="12"/>
      <color theme="1"/>
      <name val="Helvetica Neue"/>
      <family val="2"/>
    </font>
    <font>
      <sz val="12"/>
      <color theme="1"/>
      <name val="Aptos Narrow"/>
    </font>
    <font>
      <i/>
      <sz val="12"/>
      <color theme="1"/>
      <name val="Aptos Narrow"/>
      <scheme val="minor"/>
    </font>
    <font>
      <sz val="14"/>
      <color theme="1"/>
      <name val="Aptos Narrow"/>
      <family val="2"/>
      <scheme val="minor"/>
    </font>
    <font>
      <b/>
      <sz val="24"/>
      <color theme="1"/>
      <name val="Aptos Narrow"/>
      <scheme val="minor"/>
    </font>
    <font>
      <sz val="13"/>
      <color theme="1"/>
      <name val="Helvetica Neue"/>
      <family val="2"/>
    </font>
    <font>
      <sz val="10"/>
      <color rgb="FF000000"/>
      <name val="Arial Unicode MS"/>
      <family val="2"/>
    </font>
    <font>
      <b/>
      <sz val="10"/>
      <color theme="1"/>
      <name val="Aptos Narrow"/>
      <scheme val="minor"/>
    </font>
    <font>
      <sz val="10"/>
      <color theme="1"/>
      <name val="Aptos Narrow"/>
      <scheme val="minor"/>
    </font>
    <font>
      <sz val="10"/>
      <color rgb="FF1F1FFF"/>
      <name val="Aptos Narrow"/>
      <scheme val="minor"/>
    </font>
    <font>
      <b/>
      <sz val="10"/>
      <color theme="0"/>
      <name val="Aptos Narrow"/>
      <scheme val="minor"/>
    </font>
    <font>
      <sz val="10"/>
      <color theme="0"/>
      <name val="Aptos Narrow"/>
      <scheme val="minor"/>
    </font>
    <font>
      <i/>
      <sz val="10"/>
      <color theme="1"/>
      <name val="Aptos Narrow"/>
      <scheme val="minor"/>
    </font>
    <font>
      <sz val="10"/>
      <color theme="3"/>
      <name val="Aptos Narrow"/>
      <scheme val="minor"/>
    </font>
  </fonts>
  <fills count="3">
    <fill>
      <patternFill patternType="none"/>
    </fill>
    <fill>
      <patternFill patternType="gray125"/>
    </fill>
    <fill>
      <patternFill patternType="solid">
        <fgColor theme="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s>
  <cellStyleXfs count="2">
    <xf numFmtId="0" fontId="0" fillId="0" borderId="0"/>
    <xf numFmtId="0" fontId="3" fillId="0" borderId="0">
      <alignment vertical="center"/>
    </xf>
  </cellStyleXfs>
  <cellXfs count="73">
    <xf numFmtId="0" fontId="0" fillId="0" borderId="0" xfId="0"/>
    <xf numFmtId="0" fontId="4" fillId="2" borderId="0" xfId="0" applyFont="1" applyFill="1" applyAlignment="1">
      <alignment horizontal="center" vertical="center" wrapText="1"/>
    </xf>
    <xf numFmtId="0" fontId="4" fillId="2" borderId="0" xfId="1" applyFont="1" applyFill="1" applyAlignment="1">
      <alignment horizontal="center" vertical="center" wrapText="1"/>
    </xf>
    <xf numFmtId="2" fontId="4" fillId="2" borderId="0" xfId="1" applyNumberFormat="1" applyFont="1" applyFill="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164" fontId="5" fillId="0" borderId="0" xfId="0" applyNumberFormat="1" applyFont="1" applyAlignment="1">
      <alignment horizontal="center" vertical="center"/>
    </xf>
    <xf numFmtId="4" fontId="5" fillId="0" borderId="0" xfId="0" applyNumberFormat="1" applyFont="1" applyAlignment="1">
      <alignment horizontal="center" vertical="center"/>
    </xf>
    <xf numFmtId="2" fontId="5" fillId="0" borderId="0" xfId="0" applyNumberFormat="1" applyFont="1" applyAlignment="1">
      <alignment horizontal="center" vertical="center"/>
    </xf>
    <xf numFmtId="0" fontId="1" fillId="2" borderId="0" xfId="1" applyFont="1" applyFill="1" applyAlignment="1">
      <alignment horizontal="center" vertical="center" wrapText="1"/>
    </xf>
    <xf numFmtId="166" fontId="5" fillId="0" borderId="0" xfId="0" applyNumberFormat="1" applyFont="1" applyAlignment="1">
      <alignment horizontal="center" vertical="center"/>
    </xf>
    <xf numFmtId="0" fontId="2" fillId="2" borderId="0" xfId="0" applyFont="1" applyFill="1" applyAlignment="1">
      <alignment horizontal="center" vertical="center"/>
    </xf>
    <xf numFmtId="10" fontId="0" fillId="0" borderId="0" xfId="0" applyNumberFormat="1"/>
    <xf numFmtId="10" fontId="0" fillId="0" borderId="0" xfId="0" applyNumberFormat="1" applyAlignment="1">
      <alignment horizontal="center" vertical="center"/>
    </xf>
    <xf numFmtId="10" fontId="7" fillId="0" borderId="0" xfId="0" applyNumberFormat="1" applyFont="1" applyAlignment="1">
      <alignment horizontal="center" vertical="center"/>
    </xf>
    <xf numFmtId="0" fontId="9" fillId="0" borderId="0" xfId="0" applyFont="1"/>
    <xf numFmtId="0" fontId="10" fillId="0" borderId="0" xfId="0" applyFont="1"/>
    <xf numFmtId="49" fontId="9" fillId="0" borderId="0" xfId="0" applyNumberFormat="1" applyFont="1"/>
    <xf numFmtId="0" fontId="11" fillId="0" borderId="0" xfId="0" applyFont="1"/>
    <xf numFmtId="10" fontId="6" fillId="0" borderId="0" xfId="0" applyNumberFormat="1" applyFont="1"/>
    <xf numFmtId="10" fontId="2" fillId="2" borderId="0" xfId="0" applyNumberFormat="1" applyFont="1" applyFill="1" applyAlignment="1">
      <alignment horizontal="center" vertical="center"/>
    </xf>
    <xf numFmtId="0" fontId="4" fillId="2" borderId="0" xfId="1" applyFont="1" applyFill="1" applyAlignment="1">
      <alignment horizontal="left" vertical="center" wrapText="1"/>
    </xf>
    <xf numFmtId="164" fontId="5" fillId="0" borderId="0" xfId="0" applyNumberFormat="1" applyFont="1" applyAlignment="1">
      <alignment horizontal="left" vertical="center"/>
    </xf>
    <xf numFmtId="2" fontId="4" fillId="2" borderId="0" xfId="1" applyNumberFormat="1" applyFont="1" applyFill="1" applyAlignment="1">
      <alignment horizontal="left" vertical="center" wrapText="1"/>
    </xf>
    <xf numFmtId="0" fontId="1" fillId="2" borderId="0" xfId="1" applyFont="1" applyFill="1" applyAlignment="1">
      <alignment horizontal="left" vertical="center" wrapText="1"/>
    </xf>
    <xf numFmtId="165" fontId="4" fillId="2" borderId="0" xfId="1" applyNumberFormat="1" applyFont="1" applyFill="1" applyAlignment="1">
      <alignment horizontal="left" vertical="center" wrapText="1"/>
    </xf>
    <xf numFmtId="10" fontId="5" fillId="0" borderId="0" xfId="0" applyNumberFormat="1" applyFont="1" applyAlignment="1">
      <alignment horizontal="left" vertical="center"/>
    </xf>
    <xf numFmtId="0" fontId="5" fillId="0" borderId="0" xfId="0" applyFont="1" applyAlignment="1">
      <alignment horizontal="left" vertical="center"/>
    </xf>
    <xf numFmtId="2" fontId="5" fillId="0" borderId="0" xfId="0" applyNumberFormat="1" applyFont="1" applyAlignment="1">
      <alignment horizontal="left" vertical="center"/>
    </xf>
    <xf numFmtId="0" fontId="0" fillId="0" borderId="0" xfId="0" applyAlignment="1">
      <alignment horizontal="left" vertical="center"/>
    </xf>
    <xf numFmtId="0" fontId="0" fillId="0" borderId="0" xfId="0" applyAlignment="1">
      <alignment horizontal="left"/>
    </xf>
    <xf numFmtId="2" fontId="0" fillId="0" borderId="0" xfId="0" applyNumberFormat="1" applyAlignment="1">
      <alignment horizontal="left" vertical="center"/>
    </xf>
    <xf numFmtId="10" fontId="4" fillId="2" borderId="0" xfId="1" applyNumberFormat="1" applyFont="1" applyFill="1" applyAlignment="1">
      <alignment horizontal="center" vertical="center" wrapText="1"/>
    </xf>
    <xf numFmtId="2" fontId="0" fillId="0" borderId="0" xfId="0" applyNumberFormat="1" applyAlignment="1">
      <alignment horizontal="center" vertical="center"/>
    </xf>
    <xf numFmtId="2" fontId="1" fillId="2" borderId="0" xfId="1" applyNumberFormat="1" applyFont="1" applyFill="1" applyAlignment="1">
      <alignment horizontal="center" vertical="center" wrapText="1"/>
    </xf>
    <xf numFmtId="2" fontId="2" fillId="2" borderId="0" xfId="0" applyNumberFormat="1" applyFont="1" applyFill="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3" fillId="0" borderId="0" xfId="0" applyFont="1"/>
    <xf numFmtId="0" fontId="14" fillId="0" borderId="0" xfId="0" applyFont="1"/>
    <xf numFmtId="0" fontId="18" fillId="0" borderId="0" xfId="0" applyFont="1"/>
    <xf numFmtId="0" fontId="18" fillId="0" borderId="0" xfId="0" applyFont="1" applyAlignment="1">
      <alignment wrapText="1"/>
    </xf>
    <xf numFmtId="0" fontId="17" fillId="0" borderId="0" xfId="0" applyFont="1"/>
    <xf numFmtId="10" fontId="15" fillId="0" borderId="1" xfId="0" applyNumberFormat="1" applyFont="1" applyBorder="1" applyAlignment="1">
      <alignment vertical="center"/>
    </xf>
    <xf numFmtId="0" fontId="13" fillId="2" borderId="3" xfId="0" applyFont="1" applyFill="1" applyBorder="1"/>
    <xf numFmtId="0" fontId="14" fillId="2" borderId="3" xfId="0" applyFont="1" applyFill="1" applyBorder="1"/>
    <xf numFmtId="0" fontId="14" fillId="2" borderId="4" xfId="0" applyFont="1" applyFill="1" applyBorder="1"/>
    <xf numFmtId="0" fontId="14" fillId="0" borderId="5" xfId="0" applyFont="1" applyBorder="1"/>
    <xf numFmtId="0" fontId="14" fillId="0" borderId="6" xfId="0" applyFont="1" applyBorder="1"/>
    <xf numFmtId="0" fontId="13" fillId="0" borderId="6" xfId="0" applyFont="1" applyBorder="1"/>
    <xf numFmtId="2" fontId="14" fillId="0" borderId="0" xfId="0" applyNumberFormat="1" applyFont="1"/>
    <xf numFmtId="10" fontId="14" fillId="0" borderId="0" xfId="0" applyNumberFormat="1" applyFont="1"/>
    <xf numFmtId="0" fontId="14" fillId="0" borderId="7" xfId="0" applyFont="1" applyBorder="1"/>
    <xf numFmtId="0" fontId="14" fillId="0" borderId="8" xfId="0" applyFont="1" applyBorder="1"/>
    <xf numFmtId="10" fontId="14" fillId="0" borderId="8" xfId="0" applyNumberFormat="1" applyFont="1" applyBorder="1"/>
    <xf numFmtId="0" fontId="13" fillId="0" borderId="9" xfId="0" applyFont="1" applyBorder="1"/>
    <xf numFmtId="0" fontId="17" fillId="2" borderId="3" xfId="0" applyFont="1" applyFill="1" applyBorder="1"/>
    <xf numFmtId="0" fontId="17" fillId="2" borderId="4" xfId="0" applyFont="1" applyFill="1" applyBorder="1"/>
    <xf numFmtId="0" fontId="14" fillId="0" borderId="9" xfId="0" applyFont="1" applyBorder="1"/>
    <xf numFmtId="164" fontId="14" fillId="0" borderId="0" xfId="0" applyNumberFormat="1" applyFont="1" applyAlignment="1">
      <alignment horizontal="right" vertical="center"/>
    </xf>
    <xf numFmtId="0" fontId="13" fillId="0" borderId="8" xfId="0" applyFont="1" applyBorder="1"/>
    <xf numFmtId="0" fontId="16" fillId="2" borderId="3" xfId="0" applyFont="1" applyFill="1" applyBorder="1"/>
    <xf numFmtId="167" fontId="14" fillId="0" borderId="0" xfId="0" applyNumberFormat="1" applyFont="1"/>
    <xf numFmtId="0" fontId="14" fillId="2" borderId="2" xfId="0" applyFont="1" applyFill="1" applyBorder="1"/>
    <xf numFmtId="0" fontId="16" fillId="2" borderId="3" xfId="0" applyFont="1" applyFill="1" applyBorder="1" applyAlignment="1">
      <alignment horizontal="left" vertical="center"/>
    </xf>
    <xf numFmtId="0" fontId="14" fillId="0" borderId="10" xfId="0" applyFont="1" applyBorder="1"/>
    <xf numFmtId="167" fontId="12" fillId="0" borderId="0" xfId="0" applyNumberFormat="1" applyFont="1" applyAlignment="1">
      <alignment horizontal="center" vertical="center"/>
    </xf>
    <xf numFmtId="167" fontId="0" fillId="0" borderId="0" xfId="0" applyNumberFormat="1" applyAlignment="1">
      <alignment horizontal="center" vertical="center"/>
    </xf>
    <xf numFmtId="167" fontId="7" fillId="0" borderId="0" xfId="0" applyNumberFormat="1" applyFont="1" applyAlignment="1">
      <alignment horizontal="center" vertical="center"/>
    </xf>
    <xf numFmtId="0" fontId="19" fillId="0" borderId="0" xfId="0" applyFont="1"/>
    <xf numFmtId="0" fontId="0" fillId="0" borderId="0" xfId="0" applyAlignment="1">
      <alignment horizontal="left" vertical="center" wrapText="1"/>
    </xf>
    <xf numFmtId="168" fontId="14" fillId="0" borderId="0" xfId="0" applyNumberFormat="1" applyFont="1"/>
    <xf numFmtId="0" fontId="8" fillId="0" borderId="0" xfId="0" applyFont="1" applyAlignment="1">
      <alignment wrapText="1"/>
    </xf>
  </cellXfs>
  <cellStyles count="2">
    <cellStyle name="Normal" xfId="0" builtinId="0"/>
    <cellStyle name="Normal 2" xfId="1" xr:uid="{97EE32F6-435F-0940-A7A5-A40C013A8623}"/>
  </cellStyles>
  <dxfs count="12">
    <dxf>
      <font>
        <color rgb="FF9C0006"/>
      </font>
    </dxf>
    <dxf>
      <font>
        <b val="0"/>
        <i val="0"/>
        <strike val="0"/>
        <condense val="0"/>
        <extend val="0"/>
        <outline val="0"/>
        <shadow val="0"/>
        <u val="none"/>
        <vertAlign val="baseline"/>
        <sz val="12"/>
        <color theme="1"/>
        <name val="Aptos Narrow"/>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scheme val="minor"/>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scheme val="minor"/>
      </font>
      <numFmt numFmtId="14" formatCode="0.00%"/>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409]#,##0.00"/>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scheme val="minor"/>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409]#,##0.00"/>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Aptos Narrow"/>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solid">
          <fgColor indexed="6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GB" sz="1100" b="0" i="0" u="none" strike="noStrike" baseline="0">
                <a:solidFill>
                  <a:sysClr val="windowText" lastClr="000000">
                    <a:lumMod val="65000"/>
                    <a:lumOff val="35000"/>
                  </a:sysClr>
                </a:solidFill>
                <a:latin typeface="Aptos Narrow" panose="02110004020202020204"/>
              </a:rPr>
              <a:t>Industry Breakdown</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Dashboard!$O$4:$Q$14</c:f>
              <c:strCache>
                <c:ptCount val="11"/>
                <c:pt idx="0">
                  <c:v>Software &amp; IT Services</c:v>
                </c:pt>
                <c:pt idx="1">
                  <c:v>Machinery, Equipment &amp; Components</c:v>
                </c:pt>
                <c:pt idx="2">
                  <c:v>Banking Services</c:v>
                </c:pt>
                <c:pt idx="3">
                  <c:v>Beverages</c:v>
                </c:pt>
                <c:pt idx="4">
                  <c:v>Semiconductors &amp; Semiconductor Equipment</c:v>
                </c:pt>
                <c:pt idx="5">
                  <c:v>Food &amp; Drug Retailing</c:v>
                </c:pt>
                <c:pt idx="6">
                  <c:v>Computers, Phones &amp; Household Electronics</c:v>
                </c:pt>
                <c:pt idx="7">
                  <c:v>Investment Banking &amp; Investment Services</c:v>
                </c:pt>
                <c:pt idx="8">
                  <c:v>Diversified Retail</c:v>
                </c:pt>
                <c:pt idx="9">
                  <c:v>Oil &amp; Gas</c:v>
                </c:pt>
                <c:pt idx="10">
                  <c:v>Telecommunications Services</c:v>
                </c:pt>
              </c:strCache>
            </c:strRef>
          </c:cat>
          <c:val>
            <c:numRef>
              <c:f>Dashboard!$R$4:$R$14</c:f>
              <c:numCache>
                <c:formatCode>0.00%</c:formatCode>
                <c:ptCount val="11"/>
                <c:pt idx="0">
                  <c:v>0.21689575456892279</c:v>
                </c:pt>
                <c:pt idx="1">
                  <c:v>5.4924203657224037E-2</c:v>
                </c:pt>
                <c:pt idx="2">
                  <c:v>0.10034083585219898</c:v>
                </c:pt>
                <c:pt idx="3">
                  <c:v>5.0189875136852295E-2</c:v>
                </c:pt>
                <c:pt idx="4">
                  <c:v>0.12152973836200018</c:v>
                </c:pt>
                <c:pt idx="5">
                  <c:v>3.6928229431957629E-2</c:v>
                </c:pt>
                <c:pt idx="6">
                  <c:v>0.13424307986788087</c:v>
                </c:pt>
                <c:pt idx="7">
                  <c:v>3.2127746395026364E-2</c:v>
                </c:pt>
                <c:pt idx="8">
                  <c:v>0.10479669277227663</c:v>
                </c:pt>
                <c:pt idx="9">
                  <c:v>0.12548149786589421</c:v>
                </c:pt>
                <c:pt idx="10">
                  <c:v>2.2542346089766074E-2</c:v>
                </c:pt>
              </c:numCache>
            </c:numRef>
          </c:val>
          <c:extLst>
            <c:ext xmlns:c16="http://schemas.microsoft.com/office/drawing/2014/chart" uri="{C3380CC4-5D6E-409C-BE32-E72D297353CC}">
              <c16:uniqueId val="{00000000-0820-CF4A-8CA9-CE280F034CBC}"/>
            </c:ext>
          </c:extLst>
        </c:ser>
        <c:dLbls>
          <c:dLblPos val="inEnd"/>
          <c:showLegendKey val="0"/>
          <c:showVal val="1"/>
          <c:showCatName val="0"/>
          <c:showSerName val="0"/>
          <c:showPercent val="0"/>
          <c:showBubbleSize val="0"/>
        </c:dLbls>
        <c:gapWidth val="100"/>
        <c:axId val="1140101727"/>
        <c:axId val="1140103439"/>
      </c:barChart>
      <c:catAx>
        <c:axId val="114010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40103439"/>
        <c:crosses val="autoZero"/>
        <c:auto val="1"/>
        <c:lblAlgn val="ctr"/>
        <c:lblOffset val="100"/>
        <c:noMultiLvlLbl val="0"/>
      </c:catAx>
      <c:valAx>
        <c:axId val="1140103439"/>
        <c:scaling>
          <c:orientation val="minMax"/>
          <c:max val="0.25"/>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40101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GB" sz="1000" b="0" i="0" u="none" strike="noStrike" baseline="0">
                <a:effectLst/>
              </a:rPr>
              <a:t>Cumulative Returns vs. Benchmark Returns (</a:t>
            </a:r>
            <a:r>
              <a:rPr lang="en-US" sz="1000" b="0" i="0" u="none" strike="noStrike" baseline="0">
                <a:effectLst/>
              </a:rPr>
              <a:t>1 year</a:t>
            </a:r>
            <a:r>
              <a:rPr lang="en-GB" sz="1000" b="0" i="0" u="none" strike="noStrike" baseline="0">
                <a:effectLst/>
              </a:rPr>
              <a: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Returns!$C$1</c:f>
              <c:strCache>
                <c:ptCount val="1"/>
                <c:pt idx="0">
                  <c:v>Cumulative NAV (Portfolio)</c:v>
                </c:pt>
              </c:strCache>
            </c:strRef>
          </c:tx>
          <c:spPr>
            <a:ln w="15875" cap="rnd">
              <a:solidFill>
                <a:schemeClr val="accent1"/>
              </a:solidFill>
              <a:round/>
            </a:ln>
            <a:effectLst/>
          </c:spPr>
          <c:marker>
            <c:symbol val="none"/>
          </c:marker>
          <c:val>
            <c:numRef>
              <c:f>Returns!$C$2:$C$251</c:f>
              <c:numCache>
                <c:formatCode>0.0000</c:formatCode>
                <c:ptCount val="250"/>
                <c:pt idx="0">
                  <c:v>1</c:v>
                </c:pt>
                <c:pt idx="1">
                  <c:v>0.98956922515019174</c:v>
                </c:pt>
                <c:pt idx="2">
                  <c:v>0.99659980542775783</c:v>
                </c:pt>
                <c:pt idx="3">
                  <c:v>0.99918799060288743</c:v>
                </c:pt>
                <c:pt idx="4">
                  <c:v>0.98588808367501457</c:v>
                </c:pt>
                <c:pt idx="5">
                  <c:v>0.99130140694843316</c:v>
                </c:pt>
                <c:pt idx="6">
                  <c:v>0.97864509033204949</c:v>
                </c:pt>
                <c:pt idx="7">
                  <c:v>0.97523212030776851</c:v>
                </c:pt>
                <c:pt idx="8">
                  <c:v>0.99168076942274497</c:v>
                </c:pt>
                <c:pt idx="9">
                  <c:v>0.99194759047666381</c:v>
                </c:pt>
                <c:pt idx="10">
                  <c:v>0.98795472836247056</c:v>
                </c:pt>
                <c:pt idx="11">
                  <c:v>0.97249698625459391</c:v>
                </c:pt>
                <c:pt idx="12">
                  <c:v>0.97393793091197045</c:v>
                </c:pt>
                <c:pt idx="13">
                  <c:v>0.96420384600463716</c:v>
                </c:pt>
                <c:pt idx="14">
                  <c:v>0.95233059191618108</c:v>
                </c:pt>
                <c:pt idx="15">
                  <c:v>0.95521137902845743</c:v>
                </c:pt>
                <c:pt idx="16">
                  <c:v>0.94523621459992979</c:v>
                </c:pt>
                <c:pt idx="17">
                  <c:v>0.94722058816075427</c:v>
                </c:pt>
                <c:pt idx="18">
                  <c:v>0.96413645578165974</c:v>
                </c:pt>
                <c:pt idx="19">
                  <c:v>0.96954223976806853</c:v>
                </c:pt>
                <c:pt idx="20">
                  <c:v>0.98073002840966683</c:v>
                </c:pt>
                <c:pt idx="21">
                  <c:v>0.98982534253352961</c:v>
                </c:pt>
                <c:pt idx="22">
                  <c:v>0.98886274720327516</c:v>
                </c:pt>
                <c:pt idx="23">
                  <c:v>0.9914102306046545</c:v>
                </c:pt>
                <c:pt idx="24">
                  <c:v>0.99132854618231636</c:v>
                </c:pt>
                <c:pt idx="25">
                  <c:v>0.9917292667086397</c:v>
                </c:pt>
                <c:pt idx="26">
                  <c:v>0.99326906373744639</c:v>
                </c:pt>
                <c:pt idx="27">
                  <c:v>0.99149344227828184</c:v>
                </c:pt>
                <c:pt idx="28">
                  <c:v>0.99209389653578639</c:v>
                </c:pt>
                <c:pt idx="29">
                  <c:v>0.9990230435144718</c:v>
                </c:pt>
                <c:pt idx="30">
                  <c:v>0.99831290343159984</c:v>
                </c:pt>
                <c:pt idx="31">
                  <c:v>0.98095599339340367</c:v>
                </c:pt>
                <c:pt idx="32">
                  <c:v>0.96668365547577884</c:v>
                </c:pt>
                <c:pt idx="33">
                  <c:v>0.96280215882105291</c:v>
                </c:pt>
                <c:pt idx="34">
                  <c:v>0.95652353566355208</c:v>
                </c:pt>
                <c:pt idx="35">
                  <c:v>0.96118235771252036</c:v>
                </c:pt>
                <c:pt idx="36">
                  <c:v>0.97590599857123805</c:v>
                </c:pt>
                <c:pt idx="37">
                  <c:v>0.98177125376690177</c:v>
                </c:pt>
                <c:pt idx="38">
                  <c:v>0.98703892088428757</c:v>
                </c:pt>
                <c:pt idx="39">
                  <c:v>0.98917201608168437</c:v>
                </c:pt>
                <c:pt idx="40">
                  <c:v>0.99223850700582927</c:v>
                </c:pt>
                <c:pt idx="41">
                  <c:v>0.98657285750521662</c:v>
                </c:pt>
                <c:pt idx="42">
                  <c:v>0.98808599505009165</c:v>
                </c:pt>
                <c:pt idx="43">
                  <c:v>0.98213370723983251</c:v>
                </c:pt>
                <c:pt idx="44">
                  <c:v>0.99159161397691575</c:v>
                </c:pt>
                <c:pt idx="45">
                  <c:v>0.99721287383882662</c:v>
                </c:pt>
                <c:pt idx="46">
                  <c:v>0.99533696326563315</c:v>
                </c:pt>
                <c:pt idx="47">
                  <c:v>0.990238524570627</c:v>
                </c:pt>
                <c:pt idx="48">
                  <c:v>0.989093877079121</c:v>
                </c:pt>
                <c:pt idx="49">
                  <c:v>0.99893233511104784</c:v>
                </c:pt>
                <c:pt idx="50">
                  <c:v>1.0068088389319965</c:v>
                </c:pt>
                <c:pt idx="51">
                  <c:v>1.0081215204510172</c:v>
                </c:pt>
                <c:pt idx="52">
                  <c:v>1.003710054413739</c:v>
                </c:pt>
                <c:pt idx="53">
                  <c:v>1.0071567582756054</c:v>
                </c:pt>
                <c:pt idx="54">
                  <c:v>1.0105040760356752</c:v>
                </c:pt>
                <c:pt idx="55">
                  <c:v>0.99064352902634845</c:v>
                </c:pt>
                <c:pt idx="56">
                  <c:v>0.99697785336425349</c:v>
                </c:pt>
                <c:pt idx="57">
                  <c:v>1.000653731098381</c:v>
                </c:pt>
                <c:pt idx="58">
                  <c:v>1.0077918716268812</c:v>
                </c:pt>
                <c:pt idx="59">
                  <c:v>1.0156520630605004</c:v>
                </c:pt>
                <c:pt idx="60">
                  <c:v>1.0354368074436238</c:v>
                </c:pt>
                <c:pt idx="61">
                  <c:v>1.034254962127324</c:v>
                </c:pt>
                <c:pt idx="62">
                  <c:v>1.0275218495455254</c:v>
                </c:pt>
                <c:pt idx="63">
                  <c:v>1.022423136371859</c:v>
                </c:pt>
                <c:pt idx="64">
                  <c:v>1.0308660447005846</c:v>
                </c:pt>
                <c:pt idx="65">
                  <c:v>1.0256768101836631</c:v>
                </c:pt>
                <c:pt idx="66">
                  <c:v>1.0231172785752116</c:v>
                </c:pt>
                <c:pt idx="67">
                  <c:v>1.0046188307254129</c:v>
                </c:pt>
                <c:pt idx="68">
                  <c:v>1.0291905505684575</c:v>
                </c:pt>
                <c:pt idx="69">
                  <c:v>1.0402222202820341</c:v>
                </c:pt>
                <c:pt idx="70">
                  <c:v>1.0319405556349133</c:v>
                </c:pt>
                <c:pt idx="71">
                  <c:v>1.046153158588657</c:v>
                </c:pt>
                <c:pt idx="72">
                  <c:v>1.0270331151936385</c:v>
                </c:pt>
                <c:pt idx="73">
                  <c:v>1.0196702530498087</c:v>
                </c:pt>
                <c:pt idx="74">
                  <c:v>1.0224792896745283</c:v>
                </c:pt>
                <c:pt idx="75">
                  <c:v>1.0294981893246216</c:v>
                </c:pt>
                <c:pt idx="76">
                  <c:v>1.0241510533977791</c:v>
                </c:pt>
                <c:pt idx="77">
                  <c:v>1.030378087779753</c:v>
                </c:pt>
                <c:pt idx="78">
                  <c:v>1.0248650449571002</c:v>
                </c:pt>
                <c:pt idx="79">
                  <c:v>1.0386239620023918</c:v>
                </c:pt>
                <c:pt idx="80">
                  <c:v>1.0547190813061593</c:v>
                </c:pt>
                <c:pt idx="81">
                  <c:v>1.0499398137958542</c:v>
                </c:pt>
                <c:pt idx="82">
                  <c:v>1.0355170775214191</c:v>
                </c:pt>
                <c:pt idx="83">
                  <c:v>1.0350500596663434</c:v>
                </c:pt>
                <c:pt idx="84">
                  <c:v>1.0227418135843227</c:v>
                </c:pt>
                <c:pt idx="85">
                  <c:v>1.032236357290977</c:v>
                </c:pt>
                <c:pt idx="86">
                  <c:v>1.0274911116852423</c:v>
                </c:pt>
                <c:pt idx="87">
                  <c:v>1.0189575216597995</c:v>
                </c:pt>
                <c:pt idx="88">
                  <c:v>1.0335438007448294</c:v>
                </c:pt>
                <c:pt idx="89">
                  <c:v>1.0342877080194786</c:v>
                </c:pt>
                <c:pt idx="90">
                  <c:v>1.0381224797033213</c:v>
                </c:pt>
                <c:pt idx="91">
                  <c:v>1.0281298364962175</c:v>
                </c:pt>
                <c:pt idx="92">
                  <c:v>1.0135729297384333</c:v>
                </c:pt>
                <c:pt idx="93">
                  <c:v>1.0264530471064279</c:v>
                </c:pt>
                <c:pt idx="94">
                  <c:v>1.0297512307416512</c:v>
                </c:pt>
                <c:pt idx="95">
                  <c:v>1.0163260119175721</c:v>
                </c:pt>
                <c:pt idx="96">
                  <c:v>1.0161627831745108</c:v>
                </c:pt>
                <c:pt idx="97">
                  <c:v>0.99775586260226834</c:v>
                </c:pt>
                <c:pt idx="98">
                  <c:v>1.0108611540099572</c:v>
                </c:pt>
                <c:pt idx="99">
                  <c:v>1.00736682998279</c:v>
                </c:pt>
                <c:pt idx="100">
                  <c:v>1.0150302014844976</c:v>
                </c:pt>
                <c:pt idx="101">
                  <c:v>0.99875601389911328</c:v>
                </c:pt>
                <c:pt idx="102">
                  <c:v>0.98467375601697149</c:v>
                </c:pt>
                <c:pt idx="103">
                  <c:v>0.97810215606085293</c:v>
                </c:pt>
                <c:pt idx="104">
                  <c:v>1.0091652347008151</c:v>
                </c:pt>
                <c:pt idx="105">
                  <c:v>1.0158801571837832</c:v>
                </c:pt>
                <c:pt idx="106">
                  <c:v>1.0203944982819315</c:v>
                </c:pt>
                <c:pt idx="107">
                  <c:v>1.0246229393626594</c:v>
                </c:pt>
                <c:pt idx="108">
                  <c:v>1.0256916026821261</c:v>
                </c:pt>
                <c:pt idx="109">
                  <c:v>1.0520826657285813</c:v>
                </c:pt>
                <c:pt idx="110">
                  <c:v>1.0573494121906815</c:v>
                </c:pt>
                <c:pt idx="111">
                  <c:v>1.0620683624562786</c:v>
                </c:pt>
                <c:pt idx="112">
                  <c:v>1.0743236370791118</c:v>
                </c:pt>
                <c:pt idx="113">
                  <c:v>1.0837300009278554</c:v>
                </c:pt>
                <c:pt idx="114">
                  <c:v>1.0971922910526559</c:v>
                </c:pt>
                <c:pt idx="115">
                  <c:v>1.0997544225557458</c:v>
                </c:pt>
                <c:pt idx="116">
                  <c:v>1.1113568149041086</c:v>
                </c:pt>
                <c:pt idx="117">
                  <c:v>1.1086288799903292</c:v>
                </c:pt>
                <c:pt idx="118">
                  <c:v>1.1066091426126328</c:v>
                </c:pt>
                <c:pt idx="119">
                  <c:v>1.1206034941748386</c:v>
                </c:pt>
                <c:pt idx="120">
                  <c:v>1.1176147860291397</c:v>
                </c:pt>
                <c:pt idx="121">
                  <c:v>1.1234921197190397</c:v>
                </c:pt>
                <c:pt idx="122">
                  <c:v>1.1222260778477304</c:v>
                </c:pt>
                <c:pt idx="123">
                  <c:v>1.1212935781627436</c:v>
                </c:pt>
                <c:pt idx="124">
                  <c:v>1.1241133136635799</c:v>
                </c:pt>
                <c:pt idx="125">
                  <c:v>1.1379691175249262</c:v>
                </c:pt>
                <c:pt idx="126">
                  <c:v>1.145958837264325</c:v>
                </c:pt>
                <c:pt idx="127">
                  <c:v>1.1440266709810678</c:v>
                </c:pt>
                <c:pt idx="128">
                  <c:v>1.1493160031126421</c:v>
                </c:pt>
                <c:pt idx="129">
                  <c:v>1.1634184512661492</c:v>
                </c:pt>
                <c:pt idx="130">
                  <c:v>1.1522788255600345</c:v>
                </c:pt>
                <c:pt idx="131">
                  <c:v>1.1577089094613422</c:v>
                </c:pt>
                <c:pt idx="132">
                  <c:v>1.1611438326281485</c:v>
                </c:pt>
                <c:pt idx="133">
                  <c:v>1.1591215968934674</c:v>
                </c:pt>
                <c:pt idx="134">
                  <c:v>1.1703014127395981</c:v>
                </c:pt>
                <c:pt idx="135">
                  <c:v>1.1817638126699421</c:v>
                </c:pt>
                <c:pt idx="136">
                  <c:v>1.1798392864536966</c:v>
                </c:pt>
                <c:pt idx="137">
                  <c:v>1.1777834360186861</c:v>
                </c:pt>
                <c:pt idx="138">
                  <c:v>1.1662828363207296</c:v>
                </c:pt>
                <c:pt idx="139">
                  <c:v>1.1709884493931946</c:v>
                </c:pt>
                <c:pt idx="140">
                  <c:v>1.1674155291894708</c:v>
                </c:pt>
                <c:pt idx="141">
                  <c:v>1.1638330477746592</c:v>
                </c:pt>
                <c:pt idx="142">
                  <c:v>1.1594567998365219</c:v>
                </c:pt>
                <c:pt idx="143">
                  <c:v>1.1593049891213327</c:v>
                </c:pt>
                <c:pt idx="144">
                  <c:v>1.1644207485364324</c:v>
                </c:pt>
                <c:pt idx="145">
                  <c:v>1.1718600347682719</c:v>
                </c:pt>
                <c:pt idx="146">
                  <c:v>1.18020117724947</c:v>
                </c:pt>
                <c:pt idx="147">
                  <c:v>1.1810589339797692</c:v>
                </c:pt>
                <c:pt idx="148">
                  <c:v>1.1708850840570699</c:v>
                </c:pt>
                <c:pt idx="149">
                  <c:v>1.1617613448964552</c:v>
                </c:pt>
                <c:pt idx="150">
                  <c:v>1.1352689506814766</c:v>
                </c:pt>
                <c:pt idx="151">
                  <c:v>1.1357283000991976</c:v>
                </c:pt>
                <c:pt idx="152">
                  <c:v>1.118331748948094</c:v>
                </c:pt>
                <c:pt idx="153">
                  <c:v>1.1066741275492418</c:v>
                </c:pt>
                <c:pt idx="154">
                  <c:v>1.1183806385925943</c:v>
                </c:pt>
                <c:pt idx="155">
                  <c:v>1.1222849725443869</c:v>
                </c:pt>
                <c:pt idx="156">
                  <c:v>1.1367340751644031</c:v>
                </c:pt>
                <c:pt idx="157">
                  <c:v>1.1365621720348589</c:v>
                </c:pt>
                <c:pt idx="158">
                  <c:v>1.1268899333539941</c:v>
                </c:pt>
                <c:pt idx="159">
                  <c:v>1.1336467278360773</c:v>
                </c:pt>
                <c:pt idx="160">
                  <c:v>1.1211960541489634</c:v>
                </c:pt>
                <c:pt idx="161">
                  <c:v>1.1093992448172112</c:v>
                </c:pt>
                <c:pt idx="162">
                  <c:v>1.0972901472377632</c:v>
                </c:pt>
                <c:pt idx="163">
                  <c:v>1.0791151243061416</c:v>
                </c:pt>
                <c:pt idx="164">
                  <c:v>1.0826972515620152</c:v>
                </c:pt>
                <c:pt idx="165">
                  <c:v>1.0887140713087826</c:v>
                </c:pt>
                <c:pt idx="166">
                  <c:v>1.1007716881527509</c:v>
                </c:pt>
                <c:pt idx="167">
                  <c:v>1.1010202806854958</c:v>
                </c:pt>
                <c:pt idx="168">
                  <c:v>1.1120572148549126</c:v>
                </c:pt>
                <c:pt idx="169">
                  <c:v>1.1234829863443594</c:v>
                </c:pt>
                <c:pt idx="170">
                  <c:v>1.1226613733405235</c:v>
                </c:pt>
                <c:pt idx="171">
                  <c:v>1.1304060806956358</c:v>
                </c:pt>
                <c:pt idx="172">
                  <c:v>1.1339621662000274</c:v>
                </c:pt>
                <c:pt idx="173">
                  <c:v>1.1343656879259132</c:v>
                </c:pt>
                <c:pt idx="174">
                  <c:v>1.1322553173981977</c:v>
                </c:pt>
                <c:pt idx="175">
                  <c:v>1.1323170063969175</c:v>
                </c:pt>
                <c:pt idx="176">
                  <c:v>1.1492549081915078</c:v>
                </c:pt>
                <c:pt idx="177">
                  <c:v>1.1436802058676701</c:v>
                </c:pt>
                <c:pt idx="178">
                  <c:v>1.1329551675537517</c:v>
                </c:pt>
                <c:pt idx="179">
                  <c:v>1.1372516406347315</c:v>
                </c:pt>
                <c:pt idx="180">
                  <c:v>1.1440323951564451</c:v>
                </c:pt>
                <c:pt idx="181">
                  <c:v>1.1432552527882822</c:v>
                </c:pt>
                <c:pt idx="182">
                  <c:v>1.1253787316638229</c:v>
                </c:pt>
                <c:pt idx="183">
                  <c:v>1.1259834136651665</c:v>
                </c:pt>
                <c:pt idx="184">
                  <c:v>1.1279954042969507</c:v>
                </c:pt>
                <c:pt idx="185">
                  <c:v>1.1296962706680909</c:v>
                </c:pt>
                <c:pt idx="186">
                  <c:v>1.1118500322135216</c:v>
                </c:pt>
                <c:pt idx="187">
                  <c:v>1.1479855897279323</c:v>
                </c:pt>
                <c:pt idx="188">
                  <c:v>1.1623748528605804</c:v>
                </c:pt>
                <c:pt idx="189">
                  <c:v>1.1871847313797594</c:v>
                </c:pt>
                <c:pt idx="190">
                  <c:v>1.1991862149213692</c:v>
                </c:pt>
                <c:pt idx="191">
                  <c:v>1.1874533810794763</c:v>
                </c:pt>
                <c:pt idx="192">
                  <c:v>1.1924797018964277</c:v>
                </c:pt>
                <c:pt idx="193">
                  <c:v>1.2031390360329459</c:v>
                </c:pt>
                <c:pt idx="194">
                  <c:v>1.2064199181498905</c:v>
                </c:pt>
                <c:pt idx="195">
                  <c:v>1.2016082458391801</c:v>
                </c:pt>
                <c:pt idx="196">
                  <c:v>1.2101060488008515</c:v>
                </c:pt>
                <c:pt idx="197">
                  <c:v>1.2123817715075018</c:v>
                </c:pt>
                <c:pt idx="198">
                  <c:v>1.2134512268971045</c:v>
                </c:pt>
                <c:pt idx="199">
                  <c:v>1.2100526539670222</c:v>
                </c:pt>
                <c:pt idx="200">
                  <c:v>1.2042389771553248</c:v>
                </c:pt>
                <c:pt idx="201">
                  <c:v>1.2027327456567367</c:v>
                </c:pt>
                <c:pt idx="202">
                  <c:v>1.193063873478734</c:v>
                </c:pt>
                <c:pt idx="203">
                  <c:v>1.1996433413362269</c:v>
                </c:pt>
                <c:pt idx="204">
                  <c:v>1.1961153098179065</c:v>
                </c:pt>
                <c:pt idx="205">
                  <c:v>1.1978484387929997</c:v>
                </c:pt>
                <c:pt idx="206">
                  <c:v>1.1971080976759487</c:v>
                </c:pt>
                <c:pt idx="207">
                  <c:v>1.2054223854673243</c:v>
                </c:pt>
                <c:pt idx="208">
                  <c:v>1.2096511933801373</c:v>
                </c:pt>
                <c:pt idx="209">
                  <c:v>1.2075610680128683</c:v>
                </c:pt>
                <c:pt idx="210">
                  <c:v>1.2060309659352415</c:v>
                </c:pt>
                <c:pt idx="211">
                  <c:v>1.2080698887135255</c:v>
                </c:pt>
                <c:pt idx="212">
                  <c:v>1.2259567898643573</c:v>
                </c:pt>
                <c:pt idx="213">
                  <c:v>1.2196297895692394</c:v>
                </c:pt>
                <c:pt idx="214">
                  <c:v>1.2214634115133625</c:v>
                </c:pt>
                <c:pt idx="215">
                  <c:v>1.2061816311550344</c:v>
                </c:pt>
                <c:pt idx="216">
                  <c:v>1.2034524651908713</c:v>
                </c:pt>
                <c:pt idx="217">
                  <c:v>1.2195070728610449</c:v>
                </c:pt>
                <c:pt idx="218">
                  <c:v>1.2094128028610971</c:v>
                </c:pt>
                <c:pt idx="219">
                  <c:v>1.200245047171455</c:v>
                </c:pt>
                <c:pt idx="220">
                  <c:v>1.1908837538001209</c:v>
                </c:pt>
                <c:pt idx="221">
                  <c:v>1.2056481945779127</c:v>
                </c:pt>
                <c:pt idx="222">
                  <c:v>1.2075053652428374</c:v>
                </c:pt>
                <c:pt idx="223">
                  <c:v>1.2180553367751275</c:v>
                </c:pt>
                <c:pt idx="224">
                  <c:v>1.2167188494457641</c:v>
                </c:pt>
                <c:pt idx="225">
                  <c:v>1.206717193632606</c:v>
                </c:pt>
                <c:pt idx="226">
                  <c:v>1.2027983379777054</c:v>
                </c:pt>
                <c:pt idx="227">
                  <c:v>1.2152624494758884</c:v>
                </c:pt>
                <c:pt idx="228">
                  <c:v>1.206960567325015</c:v>
                </c:pt>
                <c:pt idx="229">
                  <c:v>1.2020097500295812</c:v>
                </c:pt>
                <c:pt idx="230">
                  <c:v>1.2012156363505424</c:v>
                </c:pt>
                <c:pt idx="231">
                  <c:v>1.1957944494127488</c:v>
                </c:pt>
                <c:pt idx="232">
                  <c:v>1.2099261312274523</c:v>
                </c:pt>
                <c:pt idx="233">
                  <c:v>1.2205322150467555</c:v>
                </c:pt>
                <c:pt idx="234">
                  <c:v>1.2317460153852138</c:v>
                </c:pt>
                <c:pt idx="235">
                  <c:v>1.2248379539086967</c:v>
                </c:pt>
                <c:pt idx="236">
                  <c:v>1.2200221067058354</c:v>
                </c:pt>
                <c:pt idx="237">
                  <c:v>1.2273525157009491</c:v>
                </c:pt>
                <c:pt idx="238">
                  <c:v>1.2354218901145193</c:v>
                </c:pt>
                <c:pt idx="239">
                  <c:v>1.2369080726097352</c:v>
                </c:pt>
                <c:pt idx="240">
                  <c:v>1.2228157088168685</c:v>
                </c:pt>
                <c:pt idx="241">
                  <c:v>1.2227684101745893</c:v>
                </c:pt>
                <c:pt idx="242">
                  <c:v>1.2133353920091603</c:v>
                </c:pt>
                <c:pt idx="243">
                  <c:v>1.2162152710228746</c:v>
                </c:pt>
                <c:pt idx="244">
                  <c:v>1.2129327864673827</c:v>
                </c:pt>
                <c:pt idx="245">
                  <c:v>1.2240871512671647</c:v>
                </c:pt>
                <c:pt idx="246">
                  <c:v>1.2001560128699713</c:v>
                </c:pt>
                <c:pt idx="247">
                  <c:v>1.197190638598626</c:v>
                </c:pt>
                <c:pt idx="248">
                  <c:v>1.2034207015890492</c:v>
                </c:pt>
                <c:pt idx="249">
                  <c:v>1.2040812197617798</c:v>
                </c:pt>
              </c:numCache>
            </c:numRef>
          </c:val>
          <c:smooth val="1"/>
          <c:extLst>
            <c:ext xmlns:c16="http://schemas.microsoft.com/office/drawing/2014/chart" uri="{C3380CC4-5D6E-409C-BE32-E72D297353CC}">
              <c16:uniqueId val="{00000000-518E-A246-A547-36C45740574A}"/>
            </c:ext>
          </c:extLst>
        </c:ser>
        <c:ser>
          <c:idx val="1"/>
          <c:order val="1"/>
          <c:tx>
            <c:strRef>
              <c:f>Returns!$G$1</c:f>
              <c:strCache>
                <c:ptCount val="1"/>
                <c:pt idx="0">
                  <c:v>Cumulative NAV (SPY)</c:v>
                </c:pt>
              </c:strCache>
            </c:strRef>
          </c:tx>
          <c:spPr>
            <a:ln w="15875" cap="rnd">
              <a:solidFill>
                <a:schemeClr val="accent2"/>
              </a:solidFill>
              <a:round/>
            </a:ln>
            <a:effectLst/>
          </c:spPr>
          <c:marker>
            <c:symbol val="none"/>
          </c:marker>
          <c:val>
            <c:numRef>
              <c:f>Returns!$G$2:$G$251</c:f>
              <c:numCache>
                <c:formatCode>0.0000</c:formatCode>
                <c:ptCount val="250"/>
                <c:pt idx="0">
                  <c:v>1</c:v>
                </c:pt>
                <c:pt idx="1">
                  <c:v>0.98900187666390271</c:v>
                </c:pt>
                <c:pt idx="2">
                  <c:v>0.99224603209240758</c:v>
                </c:pt>
                <c:pt idx="3">
                  <c:v>0.99410814821280502</c:v>
                </c:pt>
                <c:pt idx="4">
                  <c:v>0.98232444463841495</c:v>
                </c:pt>
                <c:pt idx="5">
                  <c:v>0.98572862567101649</c:v>
                </c:pt>
                <c:pt idx="6">
                  <c:v>0.9751523880184465</c:v>
                </c:pt>
                <c:pt idx="7">
                  <c:v>0.97611254164302641</c:v>
                </c:pt>
                <c:pt idx="8">
                  <c:v>0.99134406959658994</c:v>
                </c:pt>
                <c:pt idx="9">
                  <c:v>0.99361352361832422</c:v>
                </c:pt>
                <c:pt idx="10">
                  <c:v>0.99416633934156728</c:v>
                </c:pt>
                <c:pt idx="11">
                  <c:v>0.97766915433742108</c:v>
                </c:pt>
                <c:pt idx="12">
                  <c:v>0.97750912873332441</c:v>
                </c:pt>
                <c:pt idx="13">
                  <c:v>0.96840221708200569</c:v>
                </c:pt>
                <c:pt idx="14">
                  <c:v>0.96027000683745756</c:v>
                </c:pt>
                <c:pt idx="15">
                  <c:v>0.96397969129606165</c:v>
                </c:pt>
                <c:pt idx="16">
                  <c:v>0.9492864312835505</c:v>
                </c:pt>
                <c:pt idx="17">
                  <c:v>0.95874248970744369</c:v>
                </c:pt>
                <c:pt idx="18">
                  <c:v>0.97285383843233053</c:v>
                </c:pt>
                <c:pt idx="19">
                  <c:v>0.98200439343022106</c:v>
                </c:pt>
                <c:pt idx="20">
                  <c:v>0.988783659931043</c:v>
                </c:pt>
                <c:pt idx="21">
                  <c:v>0.99418088712375752</c:v>
                </c:pt>
                <c:pt idx="22">
                  <c:v>0.98964197908028873</c:v>
                </c:pt>
                <c:pt idx="23">
                  <c:v>0.99147499963630492</c:v>
                </c:pt>
                <c:pt idx="24">
                  <c:v>0.99490827623328781</c:v>
                </c:pt>
                <c:pt idx="25">
                  <c:v>0.995635665342818</c:v>
                </c:pt>
                <c:pt idx="26">
                  <c:v>0.99752687702759679</c:v>
                </c:pt>
                <c:pt idx="27">
                  <c:v>0.9945300338963321</c:v>
                </c:pt>
                <c:pt idx="28">
                  <c:v>0.99367171474708638</c:v>
                </c:pt>
                <c:pt idx="29">
                  <c:v>1.0002618600794306</c:v>
                </c:pt>
                <c:pt idx="30">
                  <c:v>1.0025895052299274</c:v>
                </c:pt>
                <c:pt idx="31">
                  <c:v>0.99180959862668916</c:v>
                </c:pt>
                <c:pt idx="32">
                  <c:v>0.99031117706105687</c:v>
                </c:pt>
                <c:pt idx="33">
                  <c:v>0.98760528957360427</c:v>
                </c:pt>
                <c:pt idx="34">
                  <c:v>0.9767380962772223</c:v>
                </c:pt>
                <c:pt idx="35">
                  <c:v>0.984113821847859</c:v>
                </c:pt>
                <c:pt idx="36">
                  <c:v>0.99010750811038817</c:v>
                </c:pt>
                <c:pt idx="37">
                  <c:v>0.99627576775920468</c:v>
                </c:pt>
                <c:pt idx="38">
                  <c:v>1.0008292235848641</c:v>
                </c:pt>
                <c:pt idx="39">
                  <c:v>1.0043497868749907</c:v>
                </c:pt>
                <c:pt idx="40">
                  <c:v>1.0042479523996564</c:v>
                </c:pt>
                <c:pt idx="41">
                  <c:v>1.0006691979807676</c:v>
                </c:pt>
                <c:pt idx="42">
                  <c:v>0.99944718427675672</c:v>
                </c:pt>
                <c:pt idx="43">
                  <c:v>0.99204236314173877</c:v>
                </c:pt>
                <c:pt idx="44">
                  <c:v>0.99386083591556429</c:v>
                </c:pt>
                <c:pt idx="45">
                  <c:v>1.0004800768122897</c:v>
                </c:pt>
                <c:pt idx="46">
                  <c:v>1.006430119728247</c:v>
                </c:pt>
                <c:pt idx="47">
                  <c:v>1.0031859642997423</c:v>
                </c:pt>
                <c:pt idx="48">
                  <c:v>1.003084129824408</c:v>
                </c:pt>
                <c:pt idx="49">
                  <c:v>1.009717918503324</c:v>
                </c:pt>
                <c:pt idx="50">
                  <c:v>1.0113036267620998</c:v>
                </c:pt>
                <c:pt idx="51">
                  <c:v>1.0092814850376057</c:v>
                </c:pt>
                <c:pt idx="52">
                  <c:v>1.0043206913106095</c:v>
                </c:pt>
                <c:pt idx="53">
                  <c:v>1.0070556743624435</c:v>
                </c:pt>
                <c:pt idx="54">
                  <c:v>1.0062119029953882</c:v>
                </c:pt>
                <c:pt idx="55">
                  <c:v>0.98572862567101638</c:v>
                </c:pt>
                <c:pt idx="56">
                  <c:v>0.99710499134406949</c:v>
                </c:pt>
                <c:pt idx="57">
                  <c:v>1.0023130973683061</c:v>
                </c:pt>
                <c:pt idx="58">
                  <c:v>1.002676791923071</c:v>
                </c:pt>
                <c:pt idx="59">
                  <c:v>1.0077685156897827</c:v>
                </c:pt>
                <c:pt idx="60">
                  <c:v>1.0117837035743897</c:v>
                </c:pt>
                <c:pt idx="61">
                  <c:v>1.0116818690990554</c:v>
                </c:pt>
                <c:pt idx="62">
                  <c:v>1.009674275156752</c:v>
                </c:pt>
                <c:pt idx="63">
                  <c:v>1.0066628842432968</c:v>
                </c:pt>
                <c:pt idx="64">
                  <c:v>1.0116673213168648</c:v>
                </c:pt>
                <c:pt idx="65">
                  <c:v>1.0031132253887891</c:v>
                </c:pt>
                <c:pt idx="66">
                  <c:v>0.9982542661371272</c:v>
                </c:pt>
                <c:pt idx="67">
                  <c:v>0.98578681679977864</c:v>
                </c:pt>
                <c:pt idx="68">
                  <c:v>1.0046989336475654</c:v>
                </c:pt>
                <c:pt idx="69">
                  <c:v>1.009543345117037</c:v>
                </c:pt>
                <c:pt idx="70">
                  <c:v>1.0068811009761562</c:v>
                </c:pt>
                <c:pt idx="71">
                  <c:v>1.0066483364611065</c:v>
                </c:pt>
                <c:pt idx="72">
                  <c:v>0.99109675729934965</c:v>
                </c:pt>
                <c:pt idx="73">
                  <c:v>0.99179505084449882</c:v>
                </c:pt>
                <c:pt idx="74">
                  <c:v>0.9933953068854654</c:v>
                </c:pt>
                <c:pt idx="75">
                  <c:v>0.99839974395903341</c:v>
                </c:pt>
                <c:pt idx="76">
                  <c:v>0.99576659538253398</c:v>
                </c:pt>
                <c:pt idx="77">
                  <c:v>1.0029677475668834</c:v>
                </c:pt>
                <c:pt idx="78">
                  <c:v>0.99272610890469759</c:v>
                </c:pt>
                <c:pt idx="79">
                  <c:v>0.99994180887123763</c:v>
                </c:pt>
                <c:pt idx="80">
                  <c:v>1.0083795225417886</c:v>
                </c:pt>
                <c:pt idx="81">
                  <c:v>1.0027786263984055</c:v>
                </c:pt>
                <c:pt idx="82">
                  <c:v>0.99796331049331533</c:v>
                </c:pt>
                <c:pt idx="83">
                  <c:v>0.99853067399874906</c:v>
                </c:pt>
                <c:pt idx="84">
                  <c:v>0.98972926577343312</c:v>
                </c:pt>
                <c:pt idx="85">
                  <c:v>0.99671220122492343</c:v>
                </c:pt>
                <c:pt idx="86">
                  <c:v>0.99115494842811225</c:v>
                </c:pt>
                <c:pt idx="87">
                  <c:v>0.97816377893190198</c:v>
                </c:pt>
                <c:pt idx="88">
                  <c:v>0.98673242264216821</c:v>
                </c:pt>
                <c:pt idx="89">
                  <c:v>0.9851467143833923</c:v>
                </c:pt>
                <c:pt idx="90">
                  <c:v>0.98391015289719097</c:v>
                </c:pt>
                <c:pt idx="91">
                  <c:v>0.96896958058743943</c:v>
                </c:pt>
                <c:pt idx="92">
                  <c:v>0.96348506670158141</c:v>
                </c:pt>
                <c:pt idx="93">
                  <c:v>0.97329027189804906</c:v>
                </c:pt>
                <c:pt idx="94">
                  <c:v>0.97585068156359567</c:v>
                </c:pt>
                <c:pt idx="95">
                  <c:v>0.96223395743318929</c:v>
                </c:pt>
                <c:pt idx="96">
                  <c:v>0.95986266893612071</c:v>
                </c:pt>
                <c:pt idx="97">
                  <c:v>0.94352550953607139</c:v>
                </c:pt>
                <c:pt idx="98">
                  <c:v>0.95343254920787324</c:v>
                </c:pt>
                <c:pt idx="99">
                  <c:v>0.95023203712594007</c:v>
                </c:pt>
                <c:pt idx="100">
                  <c:v>0.9555274298433204</c:v>
                </c:pt>
                <c:pt idx="101">
                  <c:v>0.93846288133374067</c:v>
                </c:pt>
                <c:pt idx="102">
                  <c:v>0.92246032092407504</c:v>
                </c:pt>
                <c:pt idx="103">
                  <c:v>0.91937619109966673</c:v>
                </c:pt>
                <c:pt idx="104">
                  <c:v>0.94610046698380823</c:v>
                </c:pt>
                <c:pt idx="105">
                  <c:v>0.95322888025720454</c:v>
                </c:pt>
                <c:pt idx="106">
                  <c:v>0.95408719940645026</c:v>
                </c:pt>
                <c:pt idx="107">
                  <c:v>0.95859701188553759</c:v>
                </c:pt>
                <c:pt idx="108">
                  <c:v>0.95901889756906522</c:v>
                </c:pt>
                <c:pt idx="109">
                  <c:v>0.98344462386709097</c:v>
                </c:pt>
                <c:pt idx="110">
                  <c:v>0.9891182589214268</c:v>
                </c:pt>
                <c:pt idx="111">
                  <c:v>0.98846360872284966</c:v>
                </c:pt>
                <c:pt idx="112">
                  <c:v>0.99812333609741133</c:v>
                </c:pt>
                <c:pt idx="113">
                  <c:v>1.0102852820087573</c:v>
                </c:pt>
                <c:pt idx="114">
                  <c:v>1.0182574666492088</c:v>
                </c:pt>
                <c:pt idx="115">
                  <c:v>1.0207596851859928</c:v>
                </c:pt>
                <c:pt idx="116">
                  <c:v>1.0330962044836258</c:v>
                </c:pt>
                <c:pt idx="117">
                  <c:v>1.0310304194125599</c:v>
                </c:pt>
                <c:pt idx="118">
                  <c:v>1.0242802484761191</c:v>
                </c:pt>
                <c:pt idx="119">
                  <c:v>1.0346528171780205</c:v>
                </c:pt>
                <c:pt idx="120">
                  <c:v>1.0306376292934136</c:v>
                </c:pt>
                <c:pt idx="121">
                  <c:v>1.0386243617160558</c:v>
                </c:pt>
                <c:pt idx="122">
                  <c:v>1.0404137389254999</c:v>
                </c:pt>
                <c:pt idx="123">
                  <c:v>1.0353511107231694</c:v>
                </c:pt>
                <c:pt idx="124">
                  <c:v>1.0351910851190729</c:v>
                </c:pt>
                <c:pt idx="125">
                  <c:v>1.0454909149100211</c:v>
                </c:pt>
                <c:pt idx="126">
                  <c:v>1.0483859235659516</c:v>
                </c:pt>
                <c:pt idx="127">
                  <c:v>1.044545309067632</c:v>
                </c:pt>
                <c:pt idx="128">
                  <c:v>1.0529248316094204</c:v>
                </c:pt>
                <c:pt idx="129">
                  <c:v>1.0675599004931693</c:v>
                </c:pt>
                <c:pt idx="130">
                  <c:v>1.0642866495002832</c:v>
                </c:pt>
                <c:pt idx="131">
                  <c:v>1.0730735099434086</c:v>
                </c:pt>
                <c:pt idx="132">
                  <c:v>1.0755175373514301</c:v>
                </c:pt>
                <c:pt idx="133">
                  <c:v>1.0738881857460822</c:v>
                </c:pt>
                <c:pt idx="134">
                  <c:v>1.0798964197908021</c:v>
                </c:pt>
                <c:pt idx="135">
                  <c:v>1.0884214201544966</c:v>
                </c:pt>
                <c:pt idx="136">
                  <c:v>1.0753284161829519</c:v>
                </c:pt>
                <c:pt idx="137">
                  <c:v>1.0745719315090405</c:v>
                </c:pt>
                <c:pt idx="138">
                  <c:v>1.067414422671263</c:v>
                </c:pt>
                <c:pt idx="139">
                  <c:v>1.0783543548785979</c:v>
                </c:pt>
                <c:pt idx="140">
                  <c:v>1.0804928788606167</c:v>
                </c:pt>
                <c:pt idx="141">
                  <c:v>1.0847408312602735</c:v>
                </c:pt>
                <c:pt idx="142">
                  <c:v>1.0919419834446231</c:v>
                </c:pt>
                <c:pt idx="143">
                  <c:v>1.0917528622761452</c:v>
                </c:pt>
                <c:pt idx="144">
                  <c:v>1.0977756441030557</c:v>
                </c:pt>
                <c:pt idx="145">
                  <c:v>1.1005106271548895</c:v>
                </c:pt>
                <c:pt idx="146">
                  <c:v>1.1035074702861538</c:v>
                </c:pt>
                <c:pt idx="147">
                  <c:v>1.1050058918517864</c:v>
                </c:pt>
                <c:pt idx="148">
                  <c:v>1.097251923944194</c:v>
                </c:pt>
                <c:pt idx="149">
                  <c:v>1.1013980418685165</c:v>
                </c:pt>
                <c:pt idx="150">
                  <c:v>1.0729716754680743</c:v>
                </c:pt>
                <c:pt idx="151">
                  <c:v>1.0754011550939053</c:v>
                </c:pt>
                <c:pt idx="152">
                  <c:v>1.072244286358544</c:v>
                </c:pt>
                <c:pt idx="153">
                  <c:v>1.0553397634530608</c:v>
                </c:pt>
                <c:pt idx="154">
                  <c:v>1.0732771788940769</c:v>
                </c:pt>
                <c:pt idx="155">
                  <c:v>1.0790817439881284</c:v>
                </c:pt>
                <c:pt idx="156">
                  <c:v>1.09811024309344</c:v>
                </c:pt>
                <c:pt idx="157">
                  <c:v>1.0915637411076677</c:v>
                </c:pt>
                <c:pt idx="158">
                  <c:v>1.0779324691950709</c:v>
                </c:pt>
                <c:pt idx="159">
                  <c:v>1.0863410873012407</c:v>
                </c:pt>
                <c:pt idx="160">
                  <c:v>1.0829223584864485</c:v>
                </c:pt>
                <c:pt idx="161">
                  <c:v>1.0671962059384046</c:v>
                </c:pt>
                <c:pt idx="162">
                  <c:v>1.066701581343924</c:v>
                </c:pt>
                <c:pt idx="163">
                  <c:v>1.068243646256128</c:v>
                </c:pt>
                <c:pt idx="164">
                  <c:v>1.0605187739129167</c:v>
                </c:pt>
                <c:pt idx="165">
                  <c:v>1.0779906603238334</c:v>
                </c:pt>
                <c:pt idx="166">
                  <c:v>1.0863847306478123</c:v>
                </c:pt>
                <c:pt idx="167">
                  <c:v>1.0849154046465612</c:v>
                </c:pt>
                <c:pt idx="168">
                  <c:v>1.0834897219918818</c:v>
                </c:pt>
                <c:pt idx="169">
                  <c:v>1.0929457804157752</c:v>
                </c:pt>
                <c:pt idx="170">
                  <c:v>1.0877522221737292</c:v>
                </c:pt>
                <c:pt idx="171">
                  <c:v>1.0843916844876993</c:v>
                </c:pt>
                <c:pt idx="172">
                  <c:v>1.0935713350499709</c:v>
                </c:pt>
                <c:pt idx="173">
                  <c:v>1.0982848164797272</c:v>
                </c:pt>
                <c:pt idx="174">
                  <c:v>1.0898761983735574</c:v>
                </c:pt>
                <c:pt idx="175">
                  <c:v>1.0937459084362586</c:v>
                </c:pt>
                <c:pt idx="176">
                  <c:v>1.0980811475290586</c:v>
                </c:pt>
                <c:pt idx="177">
                  <c:v>1.0921311046131013</c:v>
                </c:pt>
                <c:pt idx="178">
                  <c:v>1.0813221024454815</c:v>
                </c:pt>
                <c:pt idx="179">
                  <c:v>1.0795763685826092</c:v>
                </c:pt>
                <c:pt idx="180">
                  <c:v>1.0885814457585936</c:v>
                </c:pt>
                <c:pt idx="181">
                  <c:v>1.0873157887080109</c:v>
                </c:pt>
                <c:pt idx="182">
                  <c:v>1.0738881857460825</c:v>
                </c:pt>
                <c:pt idx="183">
                  <c:v>1.0749792694103779</c:v>
                </c:pt>
                <c:pt idx="184">
                  <c:v>1.0752120339254279</c:v>
                </c:pt>
                <c:pt idx="185">
                  <c:v>1.077786991373165</c:v>
                </c:pt>
                <c:pt idx="186">
                  <c:v>1.0612025196758754</c:v>
                </c:pt>
                <c:pt idx="187">
                  <c:v>1.0789944572949854</c:v>
                </c:pt>
                <c:pt idx="188">
                  <c:v>1.0867629729847683</c:v>
                </c:pt>
                <c:pt idx="189">
                  <c:v>1.102241813235572</c:v>
                </c:pt>
                <c:pt idx="190">
                  <c:v>1.1221140837079386</c:v>
                </c:pt>
                <c:pt idx="191">
                  <c:v>1.1198737252505853</c:v>
                </c:pt>
                <c:pt idx="192">
                  <c:v>1.1180843480411409</c:v>
                </c:pt>
                <c:pt idx="193">
                  <c:v>1.1249218056707253</c:v>
                </c:pt>
                <c:pt idx="194">
                  <c:v>1.1245872066803415</c:v>
                </c:pt>
                <c:pt idx="195">
                  <c:v>1.1209939044792621</c:v>
                </c:pt>
                <c:pt idx="196">
                  <c:v>1.123801626442049</c:v>
                </c:pt>
                <c:pt idx="197">
                  <c:v>1.131642881042785</c:v>
                </c:pt>
                <c:pt idx="198">
                  <c:v>1.1294025225854318</c:v>
                </c:pt>
                <c:pt idx="199">
                  <c:v>1.1240634865214796</c:v>
                </c:pt>
                <c:pt idx="200">
                  <c:v>1.1164695442179839</c:v>
                </c:pt>
                <c:pt idx="201">
                  <c:v>1.1188117371506712</c:v>
                </c:pt>
                <c:pt idx="202">
                  <c:v>1.1094138698555405</c:v>
                </c:pt>
                <c:pt idx="203">
                  <c:v>1.1139527778990093</c:v>
                </c:pt>
                <c:pt idx="204">
                  <c:v>1.1106795269061231</c:v>
                </c:pt>
                <c:pt idx="205">
                  <c:v>1.1142291857606308</c:v>
                </c:pt>
                <c:pt idx="206">
                  <c:v>1.1144764980578712</c:v>
                </c:pt>
                <c:pt idx="207">
                  <c:v>1.1217794847175548</c:v>
                </c:pt>
                <c:pt idx="208">
                  <c:v>1.119233622834199</c:v>
                </c:pt>
                <c:pt idx="209">
                  <c:v>1.1158876329303598</c:v>
                </c:pt>
                <c:pt idx="210">
                  <c:v>1.108220951715911</c:v>
                </c:pt>
                <c:pt idx="211">
                  <c:v>1.1131381020963353</c:v>
                </c:pt>
                <c:pt idx="212">
                  <c:v>1.1247908756310099</c:v>
                </c:pt>
                <c:pt idx="213">
                  <c:v>1.1204556365382097</c:v>
                </c:pt>
                <c:pt idx="214">
                  <c:v>1.1143019246715837</c:v>
                </c:pt>
                <c:pt idx="215">
                  <c:v>1.1091229142117283</c:v>
                </c:pt>
                <c:pt idx="216">
                  <c:v>1.1024745777506217</c:v>
                </c:pt>
                <c:pt idx="217">
                  <c:v>1.1118724450457524</c:v>
                </c:pt>
                <c:pt idx="218">
                  <c:v>1.1069116513187562</c:v>
                </c:pt>
                <c:pt idx="219">
                  <c:v>1.1018344753342351</c:v>
                </c:pt>
                <c:pt idx="220">
                  <c:v>1.0969755160825729</c:v>
                </c:pt>
                <c:pt idx="221">
                  <c:v>1.1094138698555405</c:v>
                </c:pt>
                <c:pt idx="222">
                  <c:v>1.1080900216761955</c:v>
                </c:pt>
                <c:pt idx="223">
                  <c:v>1.1252709524433</c:v>
                </c:pt>
                <c:pt idx="224">
                  <c:v>1.1250963790570128</c:v>
                </c:pt>
                <c:pt idx="225">
                  <c:v>1.1169932643768457</c:v>
                </c:pt>
                <c:pt idx="226">
                  <c:v>1.1160767540988374</c:v>
                </c:pt>
                <c:pt idx="227">
                  <c:v>1.1221431792723198</c:v>
                </c:pt>
                <c:pt idx="228">
                  <c:v>1.1137927522949125</c:v>
                </c:pt>
                <c:pt idx="229">
                  <c:v>1.1117415150060372</c:v>
                </c:pt>
                <c:pt idx="230">
                  <c:v>1.1094575132021123</c:v>
                </c:pt>
                <c:pt idx="231">
                  <c:v>1.1114360115800346</c:v>
                </c:pt>
                <c:pt idx="232">
                  <c:v>1.1196555085177264</c:v>
                </c:pt>
                <c:pt idx="233">
                  <c:v>1.1272058074746505</c:v>
                </c:pt>
                <c:pt idx="234">
                  <c:v>1.1334031626878482</c:v>
                </c:pt>
                <c:pt idx="235">
                  <c:v>1.1306827274182052</c:v>
                </c:pt>
                <c:pt idx="236">
                  <c:v>1.125896507077496</c:v>
                </c:pt>
                <c:pt idx="237">
                  <c:v>1.1326466780139368</c:v>
                </c:pt>
                <c:pt idx="238">
                  <c:v>1.1319629322509783</c:v>
                </c:pt>
                <c:pt idx="239">
                  <c:v>1.1318320022112629</c:v>
                </c:pt>
                <c:pt idx="240">
                  <c:v>1.1195973173889642</c:v>
                </c:pt>
                <c:pt idx="241">
                  <c:v>1.1227832816887064</c:v>
                </c:pt>
                <c:pt idx="242">
                  <c:v>1.1103594756979298</c:v>
                </c:pt>
                <c:pt idx="243">
                  <c:v>1.1150584093454954</c:v>
                </c:pt>
                <c:pt idx="244">
                  <c:v>1.1187971893684807</c:v>
                </c:pt>
                <c:pt idx="245">
                  <c:v>1.1246744933734851</c:v>
                </c:pt>
                <c:pt idx="246">
                  <c:v>1.1113923682334628</c:v>
                </c:pt>
                <c:pt idx="247">
                  <c:v>1.1055878031394113</c:v>
                </c:pt>
                <c:pt idx="248">
                  <c:v>1.113443605522338</c:v>
                </c:pt>
                <c:pt idx="249">
                  <c:v>1.1196846040821073</c:v>
                </c:pt>
              </c:numCache>
            </c:numRef>
          </c:val>
          <c:smooth val="1"/>
          <c:extLst>
            <c:ext xmlns:c16="http://schemas.microsoft.com/office/drawing/2014/chart" uri="{C3380CC4-5D6E-409C-BE32-E72D297353CC}">
              <c16:uniqueId val="{00000001-518E-A246-A547-36C45740574A}"/>
            </c:ext>
          </c:extLst>
        </c:ser>
        <c:ser>
          <c:idx val="2"/>
          <c:order val="2"/>
          <c:tx>
            <c:strRef>
              <c:f>Returns!$I$1</c:f>
              <c:strCache>
                <c:ptCount val="1"/>
                <c:pt idx="0">
                  <c:v>Cumulative NAV (QQQ)</c:v>
                </c:pt>
              </c:strCache>
            </c:strRef>
          </c:tx>
          <c:spPr>
            <a:ln w="15875" cap="rnd">
              <a:solidFill>
                <a:schemeClr val="accent3"/>
              </a:solidFill>
              <a:round/>
            </a:ln>
            <a:effectLst/>
          </c:spPr>
          <c:marker>
            <c:symbol val="none"/>
          </c:marker>
          <c:val>
            <c:numRef>
              <c:f>Returns!$I$2:$I$251</c:f>
              <c:numCache>
                <c:formatCode>0.0000</c:formatCode>
                <c:ptCount val="250"/>
                <c:pt idx="0">
                  <c:v>1</c:v>
                </c:pt>
                <c:pt idx="1">
                  <c:v>0.98471145225474621</c:v>
                </c:pt>
                <c:pt idx="2">
                  <c:v>0.98946159774761322</c:v>
                </c:pt>
                <c:pt idx="3">
                  <c:v>0.99419601428189452</c:v>
                </c:pt>
                <c:pt idx="4">
                  <c:v>0.97401576041650284</c:v>
                </c:pt>
                <c:pt idx="5">
                  <c:v>0.98035453072652057</c:v>
                </c:pt>
                <c:pt idx="6">
                  <c:v>0.96209320980857849</c:v>
                </c:pt>
                <c:pt idx="7">
                  <c:v>0.95905752080154771</c:v>
                </c:pt>
                <c:pt idx="8">
                  <c:v>0.98027588593359227</c:v>
                </c:pt>
                <c:pt idx="9">
                  <c:v>0.97766487880837405</c:v>
                </c:pt>
                <c:pt idx="10">
                  <c:v>0.97689415983767713</c:v>
                </c:pt>
                <c:pt idx="11">
                  <c:v>0.95694984035107022</c:v>
                </c:pt>
                <c:pt idx="12">
                  <c:v>0.95767337244601014</c:v>
                </c:pt>
                <c:pt idx="13">
                  <c:v>0.94949431398147099</c:v>
                </c:pt>
                <c:pt idx="14">
                  <c:v>0.93793352942101671</c:v>
                </c:pt>
                <c:pt idx="15">
                  <c:v>0.94353303867750882</c:v>
                </c:pt>
                <c:pt idx="16">
                  <c:v>0.92119791748588287</c:v>
                </c:pt>
                <c:pt idx="17">
                  <c:v>0.92811865926356985</c:v>
                </c:pt>
                <c:pt idx="18">
                  <c:v>0.95185365776931874</c:v>
                </c:pt>
                <c:pt idx="19">
                  <c:v>0.95772055932176692</c:v>
                </c:pt>
                <c:pt idx="20">
                  <c:v>0.96618273904084784</c:v>
                </c:pt>
                <c:pt idx="21">
                  <c:v>0.97401576041650251</c:v>
                </c:pt>
                <c:pt idx="22">
                  <c:v>0.97074413703068685</c:v>
                </c:pt>
                <c:pt idx="23">
                  <c:v>0.97834122402755697</c:v>
                </c:pt>
                <c:pt idx="24">
                  <c:v>0.98073202573257601</c:v>
                </c:pt>
                <c:pt idx="25">
                  <c:v>0.97981974613460832</c:v>
                </c:pt>
                <c:pt idx="26">
                  <c:v>0.98381490161536378</c:v>
                </c:pt>
                <c:pt idx="27">
                  <c:v>0.98192742658508547</c:v>
                </c:pt>
                <c:pt idx="28">
                  <c:v>0.98313855639618064</c:v>
                </c:pt>
                <c:pt idx="29">
                  <c:v>0.98716516979410773</c:v>
                </c:pt>
                <c:pt idx="30">
                  <c:v>0.98397219120122048</c:v>
                </c:pt>
                <c:pt idx="31">
                  <c:v>0.96516035673278056</c:v>
                </c:pt>
                <c:pt idx="32">
                  <c:v>0.96031583748839966</c:v>
                </c:pt>
                <c:pt idx="33">
                  <c:v>0.96221904147726356</c:v>
                </c:pt>
                <c:pt idx="34">
                  <c:v>0.94438240244113414</c:v>
                </c:pt>
                <c:pt idx="35">
                  <c:v>0.95806659641065139</c:v>
                </c:pt>
                <c:pt idx="36">
                  <c:v>0.97055538952765907</c:v>
                </c:pt>
                <c:pt idx="37">
                  <c:v>0.97395284458216003</c:v>
                </c:pt>
                <c:pt idx="38">
                  <c:v>0.97851424257199904</c:v>
                </c:pt>
                <c:pt idx="39">
                  <c:v>0.98137691303458763</c:v>
                </c:pt>
                <c:pt idx="40">
                  <c:v>0.98131399720024504</c:v>
                </c:pt>
                <c:pt idx="41">
                  <c:v>0.97656385170737814</c:v>
                </c:pt>
                <c:pt idx="42">
                  <c:v>0.97429888167104417</c:v>
                </c:pt>
                <c:pt idx="43">
                  <c:v>0.96624565487519032</c:v>
                </c:pt>
                <c:pt idx="44">
                  <c:v>0.96437390880349783</c:v>
                </c:pt>
                <c:pt idx="45">
                  <c:v>0.97203391163471031</c:v>
                </c:pt>
                <c:pt idx="46">
                  <c:v>0.98057473614671919</c:v>
                </c:pt>
                <c:pt idx="47">
                  <c:v>0.9815184736618584</c:v>
                </c:pt>
                <c:pt idx="48">
                  <c:v>0.975934693363952</c:v>
                </c:pt>
                <c:pt idx="49">
                  <c:v>0.98565518976988498</c:v>
                </c:pt>
                <c:pt idx="50">
                  <c:v>0.98647309561633889</c:v>
                </c:pt>
                <c:pt idx="51">
                  <c:v>0.98501030246787336</c:v>
                </c:pt>
                <c:pt idx="52">
                  <c:v>0.97448762917407206</c:v>
                </c:pt>
                <c:pt idx="53">
                  <c:v>0.97799518693867249</c:v>
                </c:pt>
                <c:pt idx="54">
                  <c:v>0.97717728109221869</c:v>
                </c:pt>
                <c:pt idx="55">
                  <c:v>0.95641505575915786</c:v>
                </c:pt>
                <c:pt idx="56">
                  <c:v>0.96934425971656402</c:v>
                </c:pt>
                <c:pt idx="57">
                  <c:v>0.97639083316293618</c:v>
                </c:pt>
                <c:pt idx="58">
                  <c:v>0.97947370904572395</c:v>
                </c:pt>
                <c:pt idx="59">
                  <c:v>0.98378344369819271</c:v>
                </c:pt>
                <c:pt idx="60">
                  <c:v>0.99270176321625747</c:v>
                </c:pt>
                <c:pt idx="61">
                  <c:v>0.99598911556065872</c:v>
                </c:pt>
                <c:pt idx="62">
                  <c:v>0.99002784025669655</c:v>
                </c:pt>
                <c:pt idx="63">
                  <c:v>0.97813674756594371</c:v>
                </c:pt>
                <c:pt idx="64">
                  <c:v>0.9848530128820171</c:v>
                </c:pt>
                <c:pt idx="65">
                  <c:v>0.96972175472261979</c:v>
                </c:pt>
                <c:pt idx="66">
                  <c:v>0.95278166632587258</c:v>
                </c:pt>
                <c:pt idx="67">
                  <c:v>0.93906601443918392</c:v>
                </c:pt>
                <c:pt idx="68">
                  <c:v>0.95891596017427683</c:v>
                </c:pt>
                <c:pt idx="69">
                  <c:v>0.96626138383377647</c:v>
                </c:pt>
                <c:pt idx="70">
                  <c:v>0.96177863063686564</c:v>
                </c:pt>
                <c:pt idx="71">
                  <c:v>0.96435817984491268</c:v>
                </c:pt>
                <c:pt idx="72">
                  <c:v>0.94474416848860454</c:v>
                </c:pt>
                <c:pt idx="73">
                  <c:v>0.94675747518756792</c:v>
                </c:pt>
                <c:pt idx="74">
                  <c:v>0.94578227975525742</c:v>
                </c:pt>
                <c:pt idx="75">
                  <c:v>0.95284458216021528</c:v>
                </c:pt>
                <c:pt idx="76">
                  <c:v>0.94919546376834407</c:v>
                </c:pt>
                <c:pt idx="77">
                  <c:v>0.95759472765308218</c:v>
                </c:pt>
                <c:pt idx="78">
                  <c:v>0.94595529829969971</c:v>
                </c:pt>
                <c:pt idx="79">
                  <c:v>0.95611620554603094</c:v>
                </c:pt>
                <c:pt idx="80">
                  <c:v>0.96997341805999027</c:v>
                </c:pt>
                <c:pt idx="81">
                  <c:v>0.95827107287226521</c:v>
                </c:pt>
                <c:pt idx="82">
                  <c:v>0.95520392594806292</c:v>
                </c:pt>
                <c:pt idx="83">
                  <c:v>0.95646224263491519</c:v>
                </c:pt>
                <c:pt idx="84">
                  <c:v>0.94622269059565578</c:v>
                </c:pt>
                <c:pt idx="85">
                  <c:v>0.96064614561869877</c:v>
                </c:pt>
                <c:pt idx="86">
                  <c:v>0.95775201723893877</c:v>
                </c:pt>
                <c:pt idx="87">
                  <c:v>0.9433442911744816</c:v>
                </c:pt>
                <c:pt idx="88">
                  <c:v>0.95594318700158898</c:v>
                </c:pt>
                <c:pt idx="89">
                  <c:v>0.95595891596017468</c:v>
                </c:pt>
                <c:pt idx="90">
                  <c:v>0.95583308429148961</c:v>
                </c:pt>
                <c:pt idx="91">
                  <c:v>0.93942778048665443</c:v>
                </c:pt>
                <c:pt idx="92">
                  <c:v>0.93385972914733373</c:v>
                </c:pt>
                <c:pt idx="93">
                  <c:v>0.94433521556537792</c:v>
                </c:pt>
                <c:pt idx="94">
                  <c:v>0.94894380043097393</c:v>
                </c:pt>
                <c:pt idx="95">
                  <c:v>0.93571574626044063</c:v>
                </c:pt>
                <c:pt idx="96">
                  <c:v>0.93275870204633804</c:v>
                </c:pt>
                <c:pt idx="97">
                  <c:v>0.91551976343646324</c:v>
                </c:pt>
                <c:pt idx="98">
                  <c:v>0.92486276483634056</c:v>
                </c:pt>
                <c:pt idx="99">
                  <c:v>0.91853972348490853</c:v>
                </c:pt>
                <c:pt idx="100">
                  <c:v>0.92457964358179912</c:v>
                </c:pt>
                <c:pt idx="101">
                  <c:v>0.90251191468612912</c:v>
                </c:pt>
                <c:pt idx="102">
                  <c:v>0.88487975211161329</c:v>
                </c:pt>
                <c:pt idx="103">
                  <c:v>0.87811629991978279</c:v>
                </c:pt>
                <c:pt idx="104">
                  <c:v>0.90784403164666527</c:v>
                </c:pt>
                <c:pt idx="105">
                  <c:v>0.91905877911823519</c:v>
                </c:pt>
                <c:pt idx="106">
                  <c:v>0.92011261934347388</c:v>
                </c:pt>
                <c:pt idx="107">
                  <c:v>0.9256492127656234</c:v>
                </c:pt>
                <c:pt idx="108">
                  <c:v>0.92579077339289439</c:v>
                </c:pt>
                <c:pt idx="109">
                  <c:v>0.95331645091778561</c:v>
                </c:pt>
                <c:pt idx="110">
                  <c:v>0.95976532393790304</c:v>
                </c:pt>
                <c:pt idx="111">
                  <c:v>0.96114947229344039</c:v>
                </c:pt>
                <c:pt idx="112">
                  <c:v>0.97109017411957232</c:v>
                </c:pt>
                <c:pt idx="113">
                  <c:v>0.98872233669408838</c:v>
                </c:pt>
                <c:pt idx="114">
                  <c:v>1.0025638202494622</c:v>
                </c:pt>
                <c:pt idx="115">
                  <c:v>1.0073926105352573</c:v>
                </c:pt>
                <c:pt idx="116">
                  <c:v>1.0205734778300337</c:v>
                </c:pt>
                <c:pt idx="117">
                  <c:v>1.0173333123613892</c:v>
                </c:pt>
                <c:pt idx="118">
                  <c:v>1.0134639885493189</c:v>
                </c:pt>
                <c:pt idx="119">
                  <c:v>1.0304198059046517</c:v>
                </c:pt>
                <c:pt idx="120">
                  <c:v>1.0246158201865461</c:v>
                </c:pt>
                <c:pt idx="121">
                  <c:v>1.0442141025842686</c:v>
                </c:pt>
                <c:pt idx="122">
                  <c:v>1.0447646161347666</c:v>
                </c:pt>
                <c:pt idx="123">
                  <c:v>1.0342576717995509</c:v>
                </c:pt>
                <c:pt idx="124">
                  <c:v>1.0405807131509832</c:v>
                </c:pt>
                <c:pt idx="125">
                  <c:v>1.0502854805983304</c:v>
                </c:pt>
                <c:pt idx="126">
                  <c:v>1.0603677430517331</c:v>
                </c:pt>
                <c:pt idx="127">
                  <c:v>1.0583701653113553</c:v>
                </c:pt>
                <c:pt idx="128">
                  <c:v>1.0721015461566294</c:v>
                </c:pt>
                <c:pt idx="129">
                  <c:v>1.0943737515139127</c:v>
                </c:pt>
                <c:pt idx="130">
                  <c:v>1.0930682479513036</c:v>
                </c:pt>
                <c:pt idx="131">
                  <c:v>1.1186907214873307</c:v>
                </c:pt>
                <c:pt idx="132">
                  <c:v>1.121930886955975</c:v>
                </c:pt>
                <c:pt idx="133">
                  <c:v>1.1124148670116556</c:v>
                </c:pt>
                <c:pt idx="134">
                  <c:v>1.1241643990751378</c:v>
                </c:pt>
                <c:pt idx="135">
                  <c:v>1.1321547100366489</c:v>
                </c:pt>
                <c:pt idx="136">
                  <c:v>1.1150730610126307</c:v>
                </c:pt>
                <c:pt idx="137">
                  <c:v>1.110275728644007</c:v>
                </c:pt>
                <c:pt idx="138">
                  <c:v>1.1034336316592483</c:v>
                </c:pt>
                <c:pt idx="139">
                  <c:v>1.121710681535776</c:v>
                </c:pt>
                <c:pt idx="140">
                  <c:v>1.1238498199034248</c:v>
                </c:pt>
                <c:pt idx="141">
                  <c:v>1.1286156943548773</c:v>
                </c:pt>
                <c:pt idx="142">
                  <c:v>1.148654387592998</c:v>
                </c:pt>
                <c:pt idx="143">
                  <c:v>1.1473488840303889</c:v>
                </c:pt>
                <c:pt idx="144">
                  <c:v>1.1570221935605649</c:v>
                </c:pt>
                <c:pt idx="145">
                  <c:v>1.1612847413372764</c:v>
                </c:pt>
                <c:pt idx="146">
                  <c:v>1.1682526699907203</c:v>
                </c:pt>
                <c:pt idx="147">
                  <c:v>1.1736319738270133</c:v>
                </c:pt>
                <c:pt idx="148">
                  <c:v>1.1705648269028113</c:v>
                </c:pt>
                <c:pt idx="149">
                  <c:v>1.1649024018119765</c:v>
                </c:pt>
                <c:pt idx="150">
                  <c:v>1.1089859540399833</c:v>
                </c:pt>
                <c:pt idx="151">
                  <c:v>1.1263035374427863</c:v>
                </c:pt>
                <c:pt idx="152">
                  <c:v>1.1133428755682089</c:v>
                </c:pt>
                <c:pt idx="153">
                  <c:v>1.0911021281280968</c:v>
                </c:pt>
                <c:pt idx="154">
                  <c:v>1.1279550780942793</c:v>
                </c:pt>
                <c:pt idx="155">
                  <c:v>1.1345926986174244</c:v>
                </c:pt>
                <c:pt idx="156">
                  <c:v>1.1702345187725118</c:v>
                </c:pt>
                <c:pt idx="157">
                  <c:v>1.1479937713323998</c:v>
                </c:pt>
                <c:pt idx="158">
                  <c:v>1.1364329867719456</c:v>
                </c:pt>
                <c:pt idx="159">
                  <c:v>1.1649181307705616</c:v>
                </c:pt>
                <c:pt idx="160">
                  <c:v>1.1607184988281927</c:v>
                </c:pt>
                <c:pt idx="161">
                  <c:v>1.1224971294650581</c:v>
                </c:pt>
                <c:pt idx="162">
                  <c:v>1.1177312550136056</c:v>
                </c:pt>
                <c:pt idx="163">
                  <c:v>1.126791135158941</c:v>
                </c:pt>
                <c:pt idx="164">
                  <c:v>1.1112823819934881</c:v>
                </c:pt>
                <c:pt idx="165">
                  <c:v>1.1389024332698932</c:v>
                </c:pt>
                <c:pt idx="166">
                  <c:v>1.1582805102474165</c:v>
                </c:pt>
                <c:pt idx="167">
                  <c:v>1.1406168897557292</c:v>
                </c:pt>
                <c:pt idx="168">
                  <c:v>1.1208455888135647</c:v>
                </c:pt>
                <c:pt idx="169">
                  <c:v>1.1369205844881012</c:v>
                </c:pt>
                <c:pt idx="170">
                  <c:v>1.115859508941913</c:v>
                </c:pt>
                <c:pt idx="171">
                  <c:v>1.1190210296176293</c:v>
                </c:pt>
                <c:pt idx="172">
                  <c:v>1.1376441165830413</c:v>
                </c:pt>
                <c:pt idx="173">
                  <c:v>1.1411516743476418</c:v>
                </c:pt>
                <c:pt idx="174">
                  <c:v>1.1194928983751988</c:v>
                </c:pt>
                <c:pt idx="175">
                  <c:v>1.1319974204507923</c:v>
                </c:pt>
                <c:pt idx="176">
                  <c:v>1.12893027352659</c:v>
                </c:pt>
                <c:pt idx="177">
                  <c:v>1.1103701023955206</c:v>
                </c:pt>
                <c:pt idx="178">
                  <c:v>1.0936816773361437</c:v>
                </c:pt>
                <c:pt idx="179">
                  <c:v>1.0948298913128962</c:v>
                </c:pt>
                <c:pt idx="180">
                  <c:v>1.1151359768469731</c:v>
                </c:pt>
                <c:pt idx="181">
                  <c:v>1.1094420938389671</c:v>
                </c:pt>
                <c:pt idx="182">
                  <c:v>1.0883810182927791</c:v>
                </c:pt>
                <c:pt idx="183">
                  <c:v>1.07622253330607</c:v>
                </c:pt>
                <c:pt idx="184">
                  <c:v>1.0729037230444973</c:v>
                </c:pt>
                <c:pt idx="185">
                  <c:v>1.06247542350221</c:v>
                </c:pt>
                <c:pt idx="186">
                  <c:v>1.0408323764883529</c:v>
                </c:pt>
                <c:pt idx="187">
                  <c:v>1.0751529641222455</c:v>
                </c:pt>
                <c:pt idx="188">
                  <c:v>1.0821366217342749</c:v>
                </c:pt>
                <c:pt idx="189">
                  <c:v>1.1011372037057428</c:v>
                </c:pt>
                <c:pt idx="190">
                  <c:v>1.1385406672224234</c:v>
                </c:pt>
                <c:pt idx="191">
                  <c:v>1.1282381993488213</c:v>
                </c:pt>
                <c:pt idx="192">
                  <c:v>1.1240700253236235</c:v>
                </c:pt>
                <c:pt idx="193">
                  <c:v>1.1372508926184</c:v>
                </c:pt>
                <c:pt idx="194">
                  <c:v>1.1338534375638991</c:v>
                </c:pt>
                <c:pt idx="195">
                  <c:v>1.1300470295861713</c:v>
                </c:pt>
                <c:pt idx="196">
                  <c:v>1.1383047328436386</c:v>
                </c:pt>
                <c:pt idx="197">
                  <c:v>1.1514698711798295</c:v>
                </c:pt>
                <c:pt idx="198">
                  <c:v>1.1498969753212642</c:v>
                </c:pt>
                <c:pt idx="199">
                  <c:v>1.1480095002909858</c:v>
                </c:pt>
                <c:pt idx="200">
                  <c:v>1.1285685074791199</c:v>
                </c:pt>
                <c:pt idx="201">
                  <c:v>1.1263192664013717</c:v>
                </c:pt>
                <c:pt idx="202">
                  <c:v>1.1182188527297607</c:v>
                </c:pt>
                <c:pt idx="203">
                  <c:v>1.1221668213347595</c:v>
                </c:pt>
                <c:pt idx="204">
                  <c:v>1.1109678028217753</c:v>
                </c:pt>
                <c:pt idx="205">
                  <c:v>1.1178885445994622</c:v>
                </c:pt>
                <c:pt idx="206">
                  <c:v>1.1189109269075295</c:v>
                </c:pt>
                <c:pt idx="207">
                  <c:v>1.1342309325699547</c:v>
                </c:pt>
                <c:pt idx="208">
                  <c:v>1.1268697799518694</c:v>
                </c:pt>
                <c:pt idx="209">
                  <c:v>1.1273888355851962</c:v>
                </c:pt>
                <c:pt idx="210">
                  <c:v>1.1130440253550815</c:v>
                </c:pt>
                <c:pt idx="211">
                  <c:v>1.1155606587287858</c:v>
                </c:pt>
                <c:pt idx="212">
                  <c:v>1.1288201708164904</c:v>
                </c:pt>
                <c:pt idx="213">
                  <c:v>1.1308492064740396</c:v>
                </c:pt>
                <c:pt idx="214">
                  <c:v>1.1299054689589005</c:v>
                </c:pt>
                <c:pt idx="215">
                  <c:v>1.1266810324488419</c:v>
                </c:pt>
                <c:pt idx="216">
                  <c:v>1.1146955660065752</c:v>
                </c:pt>
                <c:pt idx="217">
                  <c:v>1.1244317913710937</c:v>
                </c:pt>
                <c:pt idx="218">
                  <c:v>1.1154662849772718</c:v>
                </c:pt>
                <c:pt idx="219">
                  <c:v>1.1081680481935294</c:v>
                </c:pt>
                <c:pt idx="220">
                  <c:v>1.1084511694480712</c:v>
                </c:pt>
                <c:pt idx="221">
                  <c:v>1.1276404989225666</c:v>
                </c:pt>
                <c:pt idx="222">
                  <c:v>1.134765717161867</c:v>
                </c:pt>
                <c:pt idx="223">
                  <c:v>1.1662550922503425</c:v>
                </c:pt>
                <c:pt idx="224">
                  <c:v>1.1756767384431481</c:v>
                </c:pt>
                <c:pt idx="225">
                  <c:v>1.1658461393271156</c:v>
                </c:pt>
                <c:pt idx="226">
                  <c:v>1.1656731207826734</c:v>
                </c:pt>
                <c:pt idx="227">
                  <c:v>1.1710209667017952</c:v>
                </c:pt>
                <c:pt idx="228">
                  <c:v>1.1584849867090306</c:v>
                </c:pt>
                <c:pt idx="229">
                  <c:v>1.1606870409110217</c:v>
                </c:pt>
                <c:pt idx="230">
                  <c:v>1.1635811692907818</c:v>
                </c:pt>
                <c:pt idx="231">
                  <c:v>1.167135913931139</c:v>
                </c:pt>
                <c:pt idx="232">
                  <c:v>1.1790112776633066</c:v>
                </c:pt>
                <c:pt idx="233">
                  <c:v>1.1894238482470083</c:v>
                </c:pt>
                <c:pt idx="234">
                  <c:v>1.1948660679176437</c:v>
                </c:pt>
                <c:pt idx="235">
                  <c:v>1.1918303789106131</c:v>
                </c:pt>
                <c:pt idx="236">
                  <c:v>1.1758654859461763</c:v>
                </c:pt>
                <c:pt idx="237">
                  <c:v>1.1816694716642819</c:v>
                </c:pt>
                <c:pt idx="238">
                  <c:v>1.1734432263239858</c:v>
                </c:pt>
                <c:pt idx="239">
                  <c:v>1.1695581735533298</c:v>
                </c:pt>
                <c:pt idx="240">
                  <c:v>1.1465624361011066</c:v>
                </c:pt>
                <c:pt idx="241">
                  <c:v>1.1450681850354696</c:v>
                </c:pt>
                <c:pt idx="242">
                  <c:v>1.1164414804095828</c:v>
                </c:pt>
                <c:pt idx="243">
                  <c:v>1.129905468958901</c:v>
                </c:pt>
                <c:pt idx="244">
                  <c:v>1.1287572549821483</c:v>
                </c:pt>
                <c:pt idx="245">
                  <c:v>1.1406640766314871</c:v>
                </c:pt>
                <c:pt idx="246">
                  <c:v>1.1080579454834303</c:v>
                </c:pt>
                <c:pt idx="247">
                  <c:v>1.1079478427733307</c:v>
                </c:pt>
                <c:pt idx="248">
                  <c:v>1.1202164304701394</c:v>
                </c:pt>
                <c:pt idx="249">
                  <c:v>1.1344511379901543</c:v>
                </c:pt>
              </c:numCache>
            </c:numRef>
          </c:val>
          <c:smooth val="0"/>
          <c:extLst>
            <c:ext xmlns:c16="http://schemas.microsoft.com/office/drawing/2014/chart" uri="{C3380CC4-5D6E-409C-BE32-E72D297353CC}">
              <c16:uniqueId val="{00000004-518E-A246-A547-36C45740574A}"/>
            </c:ext>
          </c:extLst>
        </c:ser>
        <c:dLbls>
          <c:showLegendKey val="0"/>
          <c:showVal val="0"/>
          <c:showCatName val="0"/>
          <c:showSerName val="0"/>
          <c:showPercent val="0"/>
          <c:showBubbleSize val="0"/>
        </c:dLbls>
        <c:smooth val="0"/>
        <c:axId val="2113604479"/>
        <c:axId val="2113606191"/>
      </c:lineChart>
      <c:catAx>
        <c:axId val="2113604479"/>
        <c:scaling>
          <c:orientation val="minMax"/>
        </c:scaling>
        <c:delete val="1"/>
        <c:axPos val="b"/>
        <c:majorTickMark val="none"/>
        <c:minorTickMark val="none"/>
        <c:tickLblPos val="nextTo"/>
        <c:crossAx val="2113606191"/>
        <c:crosses val="autoZero"/>
        <c:auto val="1"/>
        <c:lblAlgn val="ctr"/>
        <c:lblOffset val="100"/>
        <c:noMultiLvlLbl val="0"/>
      </c:catAx>
      <c:valAx>
        <c:axId val="2113606191"/>
        <c:scaling>
          <c:orientation val="minMax"/>
          <c:max val="1.25"/>
          <c:min val="0.85"/>
        </c:scaling>
        <c:delete val="0"/>
        <c:axPos val="l"/>
        <c:majorGridlines>
          <c:spPr>
            <a:ln w="9525" cap="flat" cmpd="sng" algn="ctr">
              <a:no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60447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19208</xdr:colOff>
      <xdr:row>20</xdr:row>
      <xdr:rowOff>69157</xdr:rowOff>
    </xdr:from>
    <xdr:to>
      <xdr:col>19</xdr:col>
      <xdr:colOff>10672</xdr:colOff>
      <xdr:row>44</xdr:row>
      <xdr:rowOff>128067</xdr:rowOff>
    </xdr:to>
    <xdr:graphicFrame macro="">
      <xdr:nvGraphicFramePr>
        <xdr:cNvPr id="4" name="Chart 3">
          <a:extLst>
            <a:ext uri="{FF2B5EF4-FFF2-40B4-BE49-F238E27FC236}">
              <a16:creationId xmlns:a16="http://schemas.microsoft.com/office/drawing/2014/main" id="{8BA4CA72-7B83-0D19-2F40-5A0A93E23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xdr:colOff>
      <xdr:row>45</xdr:row>
      <xdr:rowOff>127000</xdr:rowOff>
    </xdr:from>
    <xdr:to>
      <xdr:col>19</xdr:col>
      <xdr:colOff>12700</xdr:colOff>
      <xdr:row>65</xdr:row>
      <xdr:rowOff>63500</xdr:rowOff>
    </xdr:to>
    <xdr:graphicFrame macro="">
      <xdr:nvGraphicFramePr>
        <xdr:cNvPr id="7" name="Chart 6">
          <a:extLst>
            <a:ext uri="{FF2B5EF4-FFF2-40B4-BE49-F238E27FC236}">
              <a16:creationId xmlns:a16="http://schemas.microsoft.com/office/drawing/2014/main" id="{02E1864B-7364-B44E-8185-14377E738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2">
  <a r="1" c="251">
    <v t="i">0</v>
    <v t="i">1</v>
    <v t="i">2</v>
    <v t="i">3</v>
    <v t="i">6</v>
    <v t="i">7</v>
    <v t="i">8</v>
    <v t="i">9</v>
    <v t="i">10</v>
    <v t="i">13</v>
    <v t="i">14</v>
    <v t="i">15</v>
    <v t="i">16</v>
    <v t="i">17</v>
    <v t="i">20</v>
    <v t="i">21</v>
    <v t="i">22</v>
    <v t="i">23</v>
    <v t="i">24</v>
    <v t="i">27</v>
    <v t="i">28</v>
    <v t="i">29</v>
    <v t="i">31</v>
    <v t="i">34</v>
    <v t="i">35</v>
    <v t="i">36</v>
    <v t="i">37</v>
    <v t="i">38</v>
    <v t="i">41</v>
    <v t="i">42</v>
    <v t="i">43</v>
    <v t="i">44</v>
    <v t="i">45</v>
    <v t="i">48</v>
    <v t="i">49</v>
    <v t="i">50</v>
    <v t="i">51</v>
    <v t="i">52</v>
    <v t="i">55</v>
    <v t="i">56</v>
    <v t="i">57</v>
    <v t="i">59</v>
    <v t="i">62</v>
    <v t="i">63</v>
    <v t="i">64</v>
    <v t="i">66</v>
    <v t="i">69</v>
    <v t="i">70</v>
    <v t="i">71</v>
    <v t="i">72</v>
    <v t="i">73</v>
    <v t="i">76</v>
    <v t="i">77</v>
    <v t="i">78</v>
    <v t="i">79</v>
    <v t="i">80</v>
    <v t="i">84</v>
    <v t="i">85</v>
    <v t="i">86</v>
    <v t="i">87</v>
    <v t="i">90</v>
    <v t="i">91</v>
    <v t="i">92</v>
    <v t="i">93</v>
    <v t="i">94</v>
    <v t="i">97</v>
    <v t="i">98</v>
    <v t="i">99</v>
    <v t="i">100</v>
    <v t="i">101</v>
    <v t="i">104</v>
    <v t="i">105</v>
    <v t="i">106</v>
    <v t="i">107</v>
    <v t="i">108</v>
    <v t="i">112</v>
    <v t="i">113</v>
    <v t="i">114</v>
    <v t="i">115</v>
    <v t="i">118</v>
    <v t="i">119</v>
    <v t="i">120</v>
    <v t="i">121</v>
    <v t="i">122</v>
    <v t="i">125</v>
    <v t="i">126</v>
    <v t="i">127</v>
    <v t="i">128</v>
    <v t="i">129</v>
    <v t="i">132</v>
    <v t="i">133</v>
    <v t="i">134</v>
    <v t="i">135</v>
    <v t="i">136</v>
    <v t="i">139</v>
    <v t="i">140</v>
    <v t="i">141</v>
    <v t="i">142</v>
    <v t="i">143</v>
    <v t="i">146</v>
    <v t="i">147</v>
    <v t="i">148</v>
    <v t="i">149</v>
    <v t="i">150</v>
    <v t="i">153</v>
    <v t="i">154</v>
    <v t="i">155</v>
    <v t="i">156</v>
    <v t="i">160</v>
    <v t="i">161</v>
    <v t="i">162</v>
    <v t="i">163</v>
    <v t="i">164</v>
    <v t="i">167</v>
    <v t="i">168</v>
    <v t="i">169</v>
    <v t="i">170</v>
    <v t="i">171</v>
    <v t="i">174</v>
    <v t="i">175</v>
    <v t="i">176</v>
    <v t="i">177</v>
    <v t="i">178</v>
    <v t="i">181</v>
    <v t="i">182</v>
    <v t="i">183</v>
    <v t="i">184</v>
    <v t="i">185</v>
    <v t="i">188</v>
    <v t="i">189</v>
    <v t="i">190</v>
    <v t="i">191</v>
    <v t="i">192</v>
    <v t="i">195</v>
    <v t="i">196</v>
    <v t="i">197</v>
    <v t="i">198</v>
    <v t="i">199</v>
    <v t="i">202</v>
    <v t="i">203</v>
    <v t="i">204</v>
    <v t="i">205</v>
    <v t="i">206</v>
    <v t="i">210</v>
    <v t="i">211</v>
    <v t="i">212</v>
    <v t="i">213</v>
    <v t="i">216</v>
    <v t="i">217</v>
    <v t="i">218</v>
    <v t="i">219</v>
    <v t="i">220</v>
    <v t="i">223</v>
    <v t="i">224</v>
    <v t="i">225</v>
    <v t="i">226</v>
    <v t="i">227</v>
    <v t="i">230</v>
    <v t="i">231</v>
    <v t="i">232</v>
    <v t="i">233</v>
    <v t="i">237</v>
    <v t="i">238</v>
    <v t="i">239</v>
    <v t="i">240</v>
    <v t="i">241</v>
    <v t="i">244</v>
    <v t="i">245</v>
    <v t="i">246</v>
    <v t="i">247</v>
    <v t="i">251</v>
    <v t="i">252</v>
    <v t="i">253</v>
    <v t="i">254</v>
    <v t="i">255</v>
    <v t="i">258</v>
    <v t="i">259</v>
    <v t="i">260</v>
    <v t="i">261</v>
    <v t="i">262</v>
    <v t="i">265</v>
    <v t="i">266</v>
    <v t="i">267</v>
    <v t="i">268</v>
    <v t="i">269</v>
    <v t="i">272</v>
    <v t="i">273</v>
    <v t="i">274</v>
    <v t="i">275</v>
    <v t="i">276</v>
    <v t="i">279</v>
    <v t="i">280</v>
    <v t="i">281</v>
    <v t="i">282</v>
    <v t="i">283</v>
    <v t="i">286</v>
    <v t="i">287</v>
    <v t="i">288</v>
    <v t="i">289</v>
    <v t="i">290</v>
    <v t="i">293</v>
    <v t="i">294</v>
    <v t="i">295</v>
    <v t="i">296</v>
    <v t="i">297</v>
    <v t="i">300</v>
    <v t="i">301</v>
    <v t="i">302</v>
    <v t="i">303</v>
    <v t="i">304</v>
    <v t="i">307</v>
    <v t="i">308</v>
    <v t="i">309</v>
    <v t="i">310</v>
    <v t="i">311</v>
    <v t="i">315</v>
    <v t="i">316</v>
    <v t="i">317</v>
    <v t="i">318</v>
    <v t="i">321</v>
    <v t="i">322</v>
    <v t="i">323</v>
    <v t="i">324</v>
    <v t="i">325</v>
    <v t="i">328</v>
    <v t="i">329</v>
    <v t="i">330</v>
    <v t="i">331</v>
    <v t="i">332</v>
    <v t="i">335</v>
    <v t="i">336</v>
    <v t="i">337</v>
    <v t="i">338</v>
    <v t="i">339</v>
    <v t="i">342</v>
    <v t="i">343</v>
    <v t="i">344</v>
    <v t="i">345</v>
    <v t="i">346</v>
    <v t="i">349</v>
    <v t="i">350</v>
    <v t="i">351</v>
    <v t="i">352</v>
    <v t="i">353</v>
    <v t="i">356</v>
    <v t="i">357</v>
    <v t="i">358</v>
    <v t="i">359</v>
    <v t="i">360</v>
    <v t="i">363</v>
    <v t="i">364</v>
  </a>
  <a r="1" c="251">
    <v>154.13</v>
    <v>155.1</v>
    <v>153.52000000000001</v>
    <v>157.72</v>
    <v>154.04</v>
    <v>153.38999999999999</v>
    <v>152.66</v>
    <v>152.94</v>
    <v>155.02000000000001</v>
    <v>155.65</v>
    <v>156.24</v>
    <v>153.32</v>
    <v>155.58000000000001</v>
    <v>157.62</v>
    <v>154.82</v>
    <v>153.62</v>
    <v>151.69999999999999</v>
    <v>150.31</v>
    <v>149.97999999999999</v>
    <v>149.75</v>
    <v>148.53</v>
    <v>149.51</v>
    <v>151.13</v>
    <v>152.54</v>
    <v>150.25</v>
    <v>151.59</v>
    <v>152.26</v>
    <v>150</v>
    <v>148.71</v>
    <v>148.49</v>
    <v>151.41</v>
    <v>150.72</v>
    <v>149.99</v>
    <v>149.80000000000001</v>
    <v>146.75</v>
    <v>149.52000000000001</v>
    <v>147.69</v>
    <v>147.75</v>
    <v>149.80000000000001</v>
    <v>150.51</v>
    <v>150.5</v>
    <v>150.02000000000001</v>
    <v>150.99</v>
    <v>152.31</v>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v>198.86</v>
    <v>201.54</v>
    <v>192.89</v>
    <v>190.36</v>
    <v>188.55</v>
    <v>191.78</v>
    <v>187.02</v>
    <v>184.91</v>
    <v>188.15</v>
    <v>183.99</v>
    <v>183.25</v>
    <v>185.98</v>
    <v>186.32</v>
    <v>187.6</v>
    <v>185.21</v>
    <v>184.78</v>
    <v>188.36</v>
    <v>192.22</v>
    <v>193.31</v>
    <v>190.63</v>
    <v>192.28</v>
    <v>192.64</v>
    <v>185.16</v>
    <v>182.5</v>
    <v>181.62</v>
    <v>184.74</v>
    <v>185.95</v>
    <v>186</v>
    <v>186.64</v>
    <v>191.1</v>
    <v>196.12</v>
    <v>197.25</v>
    <v>191.33</v>
    <v>191.01</v>
    <v>191.43</v>
    <v>184.71</v>
    <v>182.4</v>
    <v>183.03</v>
    <v>182.46</v>
    <v>185.83</v>
    <v>187.55</v>
    <v>189.71</v>
    <v>188.35</v>
    <v>187.31</v>
    <v>189.24</v>
    <v>186.76</v>
    <v>189.8</v>
    <v>185.82</v>
    <v>187.22</v>
    <v>180.4</v>
    <v>180.11</v>
    <v>177.58</v>
    <v>173.63</v>
    <v>175.06</v>
    <v>175.98</v>
    <v>171.45</v>
    <v>172.24</v>
    <v>171.06</v>
    <v>168.47</v>
    <v>165.76</v>
    <v>165.69</v>
    <v>169.2</v>
    <v>168.1</v>
    <v>174.01</v>
    <v>175.97</v>
    <v>174.05</v>
    <v>176.4</v>
    <v>182.2</v>
    <v>181.76</v>
    <v>181.6</v>
    <v>183.86</v>
    <v>187.38</v>
    <v>189.71</v>
    <v>191.07</v>
    <v>192.98</v>
    <v>194.42</v>
    <v>194.79</v>
    <v>190</v>
    <v>187.58</v>
    <v>191.86</v>
    <v>192.31</v>
    <v>196.83</v>
    <v>193.18</v>
    <v>190.4</v>
    <v>186.41</v>
    <v>189.23</v>
    <v>186.56</v>
    <v>194.91</v>
    <v>196.66</v>
    <v>196.6</v>
    <v>197.7</v>
    <v>200</v>
    <v>202.7</v>
    <v>205.74</v>
    <v>205.76</v>
    <v>205.77</v>
    <v>205.27</v>
    <v>203.09</v>
    <v>199.89</v>
    <v>200.21</v>
    <v>199.77</v>
    <v>201.86</v>
    <v>206.14</v>
    <v>211.05</v>
    <v>211.78</v>
    <v>211.32</v>
    <v>208.6</v>
    <v>209.8</v>
    <v>213.81</v>
    <v>212.76</v>
    <v>214.06</v>
    <v>212.17</v>
    <v>217.77</v>
    <v>211.54</v>
    <v>211.57</v>
    <v>209.51</v>
    <v>203.67</v>
    <v>202.41</v>
    <v>205.51</v>
    <v>205.65</v>
    <v>204.45</v>
    <v>206.37</v>
    <v>204.38</v>
    <v>204.21</v>
    <v>207.1</v>
    <v>206.69</v>
    <v>206.47</v>
    <v>207.58</v>
    <v>205.15</v>
    <v>211.55</v>
    <v>211.98</v>
    <v>215</v>
    <v>217.73</v>
    <v>222.04</v>
    <v>219.32</v>
    <v>224.99</v>
    <v>224.37</v>
    <v>225.71</v>
    <v>226.78</v>
    <v>226.68</v>
    <v>233.21</v>
    <v>232.01</v>
    <v>228.23</v>
  </a>
  <a r="1" c="251">
    <v>86.79</v>
    <v>88.08</v>
    <v>88.14</v>
    <v>88.86</v>
    <v>88.57</v>
    <v>87.91</v>
    <v>87.7</v>
    <v>85.66</v>
    <v>86.83</v>
    <v>88.23</v>
    <v>90.69</v>
    <v>89.07</v>
    <v>89.42</v>
    <v>91.37</v>
    <v>88.72</v>
    <v>89.68</v>
    <v>87.98</v>
    <v>87.47</v>
    <v>87.37</v>
    <v>87.56</v>
    <v>86.62</v>
    <v>87.09</v>
    <v>88.69</v>
    <v>90.26</v>
    <v>89.29</v>
    <v>91.81</v>
    <v>93.12</v>
    <v>93.69</v>
    <v>92.88</v>
    <v>93.43</v>
    <v>96.8</v>
    <v>96.71</v>
    <v>95.54</v>
    <v>94.36</v>
    <v>90.77</v>
    <v>94.96</v>
    <v>92.23</v>
    <v>91.94</v>
    <v>93.31</v>
    <v>92.73</v>
    <v>91.8</v>
    <v>91.54</v>
    <v>92.63</v>
    <v>94.1</v>
    <v>93.61</v>
    <v>96.7</v>
    <v>99.2</v>
    <v>97.11</v>
    <v>93.94</v>
    <v>98.72</v>
    <v>97.51</v>
    <v>95.5</v>
    <v>96.46</v>
    <v>100.34</v>
    <v>98.93</v>
    <v>98.19</v>
    <v>95.52</v>
    <v>97.15</v>
    <v>96.88</v>
    <v>98.35</v>
    <v>98.45</v>
    <v>99.87</v>
    <v>101.39</v>
    <v>102.8</v>
    <v>104.23</v>
    <v>101.79</v>
    <v>104.91</v>
    <v>107.59</v>
    <v>104.98</v>
    <v>107.62</v>
    <v>108.7</v>
    <v>107.5</v>
    <v>111.21</v>
    <v>110.83</v>
    <v>111.43</v>
    <v>108.78</v>
    <v>110.52</v>
    <v>111.59</v>
    <v>110.53</v>
    <v>109.88</v>
    <v>110.59</v>
    <v>110.01</v>
    <v>110.7</v>
    <v>113.46</v>
    <v>118.24</v>
    <v>118.52</v>
    <v>115.65</v>
    <v>116.82</v>
    <v>117.07</v>
    <v>117.03</v>
    <v>114.15</v>
    <v>117.03</v>
    <v>120.26</v>
    <v>121.89</v>
    <v>121.32</v>
    <v>122.87</v>
    <v>123.65</v>
    <v>126.02</v>
    <v>126.92</v>
    <v>127.19</v>
    <v>129.35</v>
    <v>128.93</v>
    <v>133.25</v>
    <v>133.80000000000001</v>
    <v>132.88999999999999</v>
    <v>132</v>
    <v>128.38</v>
    <v>130.52000000000001</v>
    <v>131.63999999999999</v>
    <v>131.77000000000001</v>
    <v>125.22</v>
    <v>123.47</v>
    <v>122.55</v>
    <v>123.62</v>
    <v>118.79</v>
    <v>118.92</v>
    <v>121.57</v>
    <v>116.04</v>
    <v>116.45</v>
    <v>120.26</v>
    <v>122.6</v>
    <v>124.37</v>
    <v>121.76</v>
    <v>121.68</v>
    <v>124.32</v>
    <v>128.25</v>
    <v>125.78</v>
    <v>123.19</v>
    <v>124.91</v>
    <v>123.32</v>
    <v>118.9</v>
    <v>114.88</v>
    <v>113.87</v>
    <v>115.55</v>
    <v>117.87</v>
    <v>117.4</v>
    <v>118.97</v>
    <v>122.41</v>
    <v>124.54</v>
    <v>125.11</v>
    <v>122.36</v>
    <v>120.55</v>
    <v>120.46</v>
    <v>116.57</v>
    <v>115.13</v>
    <v>114.99</v>
    <v>113.98</v>
    <v>115.58</v>
    <v>116.87</v>
    <v>119.05</v>
    <v>119.23</v>
    <v>117.14</v>
    <v>118.89</v>
    <v>116.79</v>
    <v>119.92</v>
    <v>115.36</v>
    <v>116.98</v>
    <v>112.26</v>
    <v>111.34</v>
    <v>111.21</v>
    <v>107.74</v>
    <v>109.7</v>
    <v>109.97</v>
    <v>106.92</v>
    <v>106.41</v>
    <v>105.96</v>
    <v>104.2</v>
    <v>103.96</v>
    <v>103.22</v>
    <v>104.73</v>
    <v>103.58</v>
    <v>108.44</v>
    <v>110.72</v>
    <v>108.02</v>
    <v>109.04</v>
    <v>112.85</v>
    <v>111.87</v>
    <v>111.46</v>
    <v>112.84</v>
    <v>114.71</v>
    <v>115.68</v>
    <v>117.5</v>
    <v>118.79</v>
    <v>120.2</v>
    <v>120.26</v>
    <v>115.58</v>
    <v>114.1</v>
    <v>118.06</v>
    <v>119.03</v>
    <v>120.48</v>
    <v>119.16</v>
    <v>117.94</v>
    <v>115.04</v>
    <v>116.76</v>
    <v>117.61</v>
    <v>123.03</v>
    <v>125.92</v>
    <v>127.3</v>
    <v>124.52</v>
    <v>126.78</v>
    <v>127.56</v>
    <v>129.72</v>
    <v>130.58000000000001</v>
    <v>134.88999999999999</v>
    <v>134.87</v>
    <v>133.35</v>
    <v>131.84</v>
    <v>130.61000000000001</v>
    <v>129.52000000000001</v>
    <v>130.35</v>
    <v>132.49</v>
    <v>136.19</v>
    <v>137.19999999999999</v>
    <v>135.72</v>
    <v>134.26</v>
    <v>135.04</v>
    <v>136.53</v>
    <v>137.04</v>
    <v>137.35</v>
    <v>136.66999999999999</v>
    <v>141.22</v>
    <v>132.54</v>
    <v>133.19</v>
    <v>131.83000000000001</v>
    <v>127.53</v>
    <v>125.27</v>
    <v>128.09</v>
    <v>129.34</v>
    <v>127.3</v>
    <v>126.04</v>
    <v>125.44</v>
    <v>125.15</v>
    <v>127.06</v>
    <v>126.75</v>
    <v>128.4</v>
    <v>129.35</v>
    <v>129.84</v>
    <v>134.19</v>
    <v>134.1</v>
    <v>137.56</v>
    <v>140.9</v>
    <v>142.34</v>
    <v>141.72999999999999</v>
    <v>146.51</v>
    <v>145.24</v>
    <v>145.94999999999999</v>
    <v>145.66999999999999</v>
    <v>145.63</v>
    <v>150.80000000000001</v>
    <v>151.37</v>
    <v>147.96</v>
  </a>
  <a r="1" c="251">
    <v>924.16</v>
    <v>912.42</v>
    <v>920.18</v>
    <v>911.45</v>
    <v>928.04</v>
    <v>940.74</v>
    <v>935.03</v>
    <v>923.58</v>
    <v>922.74</v>
    <v>915.56</v>
    <v>913.86</v>
    <v>914</v>
    <v>925.08</v>
    <v>922.98</v>
    <v>912.59</v>
    <v>895.08</v>
    <v>890.6</v>
    <v>893.29</v>
    <v>899.01</v>
    <v>886.12</v>
    <v>894.33</v>
    <v>908.26</v>
    <v>913.59</v>
    <v>911.96</v>
    <v>922.03</v>
    <v>922.26</v>
    <v>895.85500000000002</v>
    <v>894.68</v>
    <v>887.52</v>
    <v>888.44</v>
    <v>874.41</v>
    <v>884.48</v>
    <v>884.47</v>
    <v>860.56</v>
    <v>860.39</v>
    <v>862.65</v>
    <v>857.59</v>
    <v>855.62</v>
    <v>850</v>
    <v>854.79</v>
    <v>871.86</v>
    <v>873.35</v>
    <v>867.84</v>
    <v>865.65</v>
    <v>862.34</v>
    <v>854.5</v>
    <v>875.74</v>
    <v>889.1</v>
    <v>882.58</v>
    <v>915.31</v>
    <v>924.88</v>
    <v>943.08</v>
    <v>941.93</v>
    <v>950.98</v>
    <v>956.75</v>
    <v>963.61</v>
    <v>964.26</v>
    <v>982.86</v>
    <v>976.17</v>
    <v>983.25</v>
    <v>977.67</v>
    <v>970.28</v>
    <v>960.78</v>
    <v>952.89</v>
    <v>940.25</v>
    <v>968.36</v>
    <v>977.92</v>
    <v>978.35</v>
    <v>989.29</v>
    <v>1001.16</v>
    <v>997.59</v>
    <v>971.23</v>
    <v>978.14</v>
    <v>998.86</v>
    <v>1018.48</v>
    <v>1012.05</v>
    <v>996.08</v>
    <v>987.82</v>
    <v>985.27</v>
    <v>986.02</v>
    <v>998.43</v>
    <v>994.76</v>
    <v>986.74</v>
    <v>1010.79</v>
    <v>1002.77</v>
    <v>1007.77</v>
    <v>1006.74</v>
    <v>982.57</v>
    <v>998.1</v>
    <v>1005.3</v>
    <v>997.36</v>
    <v>992.23</v>
    <v>1003.32</v>
    <v>1008.43</v>
    <v>1001.74</v>
    <v>996.16</v>
    <v>979.92</v>
    <v>974.78</v>
    <v>972.33</v>
    <v>965.73</v>
    <v>973.82</v>
    <v>974.86</v>
    <v>979.65</v>
    <v>983.86</v>
    <v>996.58</v>
    <v>996.43</v>
    <v>996.56</v>
    <v>1014.96</v>
    <v>1018.55</v>
    <v>1013.21</v>
    <v>1030.27</v>
    <v>1032.03</v>
    <v>998.47</v>
    <v>980.85</v>
    <v>974.8</v>
    <v>984.75</v>
    <v>987.21</v>
    <v>999.89</v>
    <v>997.84</v>
    <v>1005.81</v>
    <v>1003.7</v>
    <v>1014.38</v>
    <v>1011.15</v>
    <v>998.01</v>
    <v>994</v>
    <v>998.67</v>
    <v>1014.53</v>
    <v>1011.7</v>
    <v>1012.79</v>
    <v>1016.42</v>
    <v>995.75</v>
    <v>1012.06</v>
    <v>1008.79</v>
    <v>999.47</v>
    <v>1021.88</v>
    <v>1033.08</v>
    <v>1041.25</v>
    <v>1048.95</v>
    <v>1076.47</v>
    <v>1094.32</v>
    <v>1074.01</v>
    <v>1050.45</v>
    <v>1028.24</v>
    <v>1002.93</v>
    <v>1003.69</v>
    <v>995.2</v>
    <v>956.32</v>
    <v>946.11</v>
    <v>954.27</v>
    <v>961.83</v>
    <v>972.35</v>
    <v>971.87</v>
    <v>974.75</v>
    <v>968.59</v>
    <v>983.37</v>
    <v>975.69</v>
    <v>982.35</v>
    <v>979.45</v>
    <v>986.68</v>
    <v>965.59</v>
    <v>951.45</v>
    <v>951.35</v>
    <v>957.68</v>
    <v>961.09</v>
    <v>942.24</v>
    <v>952.54</v>
    <v>946.68</v>
    <v>935.47</v>
    <v>924.67</v>
    <v>951.67</v>
    <v>950.25</v>
    <v>947.5</v>
    <v>953.13</v>
    <v>912.97</v>
    <v>916.25</v>
    <v>926.43</v>
    <v>921.75</v>
    <v>916.54</v>
    <v>945.57</v>
    <v>940.87</v>
    <v>935.8</v>
    <v>929.22</v>
    <v>927.31</v>
    <v>926.06</v>
    <v>935.03</v>
    <v>951.58</v>
    <v>966.58</v>
    <v>974.03</v>
    <v>954.17</v>
    <v>951.89</v>
    <v>954.08</v>
    <v>947.85</v>
    <v>941.99</v>
    <v>949.15</v>
    <v>947.82</v>
    <v>952.75</v>
    <v>944.32</v>
    <v>949.57500000000005</v>
    <v>961.85</v>
    <v>961.1</v>
    <v>953.5</v>
    <v>961.35</v>
    <v>956.99</v>
    <v>933.51</v>
    <v>947.74</v>
    <v>971.4</v>
    <v>960.01</v>
    <v>956.12</v>
    <v>934.66</v>
    <v>945.47</v>
    <v>943.89</v>
    <v>939.96</v>
    <v>928.48</v>
    <v>925.41</v>
    <v>915.74</v>
    <v>910.18</v>
    <v>902.6</v>
    <v>902.38</v>
    <v>904.77</v>
    <v>918.91</v>
    <v>901.35</v>
    <v>893.74</v>
    <v>893.93</v>
    <v>895.31</v>
    <v>898.48</v>
    <v>899.41</v>
    <v>904.7</v>
    <v>896.48</v>
    <v>922.76499999999999</v>
    <v>922.92</v>
    <v>924.59</v>
    <v>910.34</v>
    <v>914.94</v>
    <v>920.65</v>
    <v>923.52</v>
    <v>935.68</v>
    <v>942.25</v>
    <v>947.92</v>
    <v>946.92</v>
    <v>959.44</v>
    <v>954.63</v>
    <v>982</v>
    <v>978.01</v>
    <v>989.11</v>
    <v>995.53</v>
    <v>994.61</v>
    <v>998.31</v>
    <v>1018.21</v>
    <v>1003.32</v>
    <v>1005.16</v>
    <v>992.13</v>
  </a>
  <a r="1" c="251">
    <v>68.650000000000006</v>
    <v>69.19</v>
    <v>68.510000000000005</v>
    <v>70.36</v>
    <v>73.08</v>
    <v>70.69</v>
    <v>71.62</v>
    <v>69.86</v>
    <v>70.540000000000006</v>
    <v>71.13</v>
    <v>70.87</v>
    <v>72.7</v>
    <v>67.040000000000006</v>
    <v>66.03</v>
    <v>63.41</v>
    <v>63.27</v>
    <v>64.56</v>
    <v>61.56</v>
    <v>61.05</v>
    <v>62.43</v>
    <v>63.17</v>
    <v>64.19</v>
    <v>65.02</v>
    <v>63.54</v>
    <v>63.59</v>
    <v>64.959999999999994</v>
    <v>65.95</v>
    <v>64.5</v>
    <v>65.81</v>
    <v>65.56</v>
    <v>66.67</v>
    <v>66.06</v>
    <v>64.150000000000006</v>
    <v>62.87</v>
    <v>63.06</v>
    <v>62.45</v>
    <v>62.94</v>
    <v>64.260000000000005</v>
    <v>65.795000000000002</v>
    <v>65.959999999999994</v>
    <v>65.98</v>
    <v>66.16</v>
    <v>65.349999999999994</v>
    <v>65</v>
    <v>64.31</v>
    <v>67.23</v>
    <v>71.569999999999993</v>
    <v>72.88</v>
    <v>71.34</v>
    <v>70.16</v>
    <v>70.47</v>
    <v>70.790000000000006</v>
    <v>70.59</v>
    <v>71.349999999999994</v>
    <v>73.680000000000007</v>
    <v>73.36</v>
    <v>71.510000000000005</v>
    <v>75.8</v>
    <v>77.209999999999994</v>
    <v>77.58</v>
    <v>75.349999999999994</v>
    <v>75.48</v>
    <v>75.45</v>
    <v>75.66</v>
    <v>74.88</v>
    <v>75.27</v>
    <v>74.930000000000007</v>
    <v>73.44</v>
    <v>69.489999999999995</v>
    <v>74.59</v>
    <v>78.42</v>
    <v>77.2</v>
    <v>76.349999999999994</v>
    <v>73.06</v>
    <v>74.75</v>
    <v>73.290000000000006</v>
    <v>74.900000000000006</v>
    <v>73.989999999999995</v>
    <v>74.394999999999996</v>
    <v>71.540000000000006</v>
    <v>71.92</v>
    <v>73.650000000000006</v>
    <v>74.56</v>
    <v>71.19</v>
    <v>71.67</v>
    <v>69.400000000000006</v>
    <v>69.150000000000006</v>
    <v>68.05</v>
    <v>66.7</v>
    <v>67.489999999999995</v>
    <v>68.5</v>
    <v>68.39</v>
    <v>66.92</v>
    <v>66.19</v>
    <v>68.28</v>
    <v>68.63</v>
    <v>68.45</v>
    <v>67.69</v>
    <v>65.47</v>
    <v>67.84</v>
    <v>66.12</v>
    <v>68.680000000000007</v>
    <v>66.2</v>
    <v>64.2</v>
    <v>63.69</v>
    <v>67.069999999999993</v>
    <v>67.91</v>
    <v>67.739999999999995</v>
    <v>68.62</v>
    <v>68.11</v>
    <v>72.31</v>
    <v>71.930000000000007</v>
    <v>71.209999999999994</v>
    <v>74.55</v>
    <v>77.099999999999994</v>
    <v>79.69</v>
    <v>79.375</v>
    <v>81.709999999999994</v>
    <v>81.25</v>
    <v>79.62</v>
    <v>78.11</v>
    <v>75.900000000000006</v>
    <v>76.62</v>
    <v>77.59</v>
    <v>77.489999999999995</v>
    <v>77.05</v>
    <v>79.5</v>
    <v>80.459999999999994</v>
    <v>81.72</v>
    <v>83.91</v>
    <v>87.04</v>
    <v>83.71</v>
    <v>84.42</v>
    <v>84.91</v>
    <v>84.59</v>
    <v>85.12</v>
    <v>88.28</v>
    <v>87</v>
    <v>86.12</v>
    <v>83.45</v>
    <v>83.79</v>
    <v>83.83</v>
    <v>81.349999999999994</v>
    <v>82.89</v>
    <v>80.95</v>
    <v>83.11</v>
    <v>86.97</v>
    <v>88.69</v>
    <v>88.72</v>
    <v>87.15</v>
    <v>87.06</v>
    <v>84.4</v>
    <v>87.35</v>
    <v>86.33</v>
    <v>85.42</v>
    <v>88.83</v>
    <v>90.81</v>
    <v>92.76</v>
    <v>93.1</v>
    <v>95.09</v>
    <v>96</v>
    <v>96.82</v>
    <v>94.7</v>
    <v>92.79</v>
    <v>92.16</v>
    <v>89.82</v>
    <v>88.2</v>
    <v>87.04</v>
    <v>93.25</v>
    <v>91.33</v>
    <v>95.99</v>
    <v>94.57</v>
    <v>93.4</v>
    <v>95.28</v>
    <v>94.09</v>
    <v>93.56</v>
    <v>95.61</v>
    <v>97.41</v>
    <v>92.21</v>
    <v>90.53</v>
    <v>91.68</v>
    <v>94.42</v>
    <v>93.5</v>
    <v>91.76</v>
    <v>91.74</v>
    <v>92.27</v>
    <v>90.91</v>
    <v>86.26</v>
    <v>90.48</v>
    <v>87.99</v>
    <v>87.75</v>
    <v>88.63</v>
    <v>88.74</v>
    <v>86.02</v>
    <v>87.83</v>
    <v>90.66</v>
    <v>89.78</v>
    <v>91.66</v>
    <v>91.42</v>
    <v>92.06</v>
    <v>94.33</v>
    <v>90.56</v>
    <v>90.54</v>
    <v>89.85</v>
    <v>93.87</v>
    <v>93.05</v>
    <v>98.19</v>
    <v>97.02</v>
    <v>96.55</v>
    <v>95.84</v>
    <v>97.29</v>
    <v>90.39</v>
    <v>89.12</v>
    <v>92.95</v>
    <v>92.62</v>
    <v>90.97</v>
    <v>90.28</v>
    <v>89.42</v>
    <v>91.37</v>
    <v>90.75</v>
    <v>88.8</v>
    <v>86.74</v>
    <v>88.38</v>
    <v>90.69</v>
    <v>93.21</v>
    <v>91.88</v>
    <v>91.56</v>
    <v>89.82</v>
    <v>89.24</v>
    <v>87.08</v>
    <v>86.18</v>
    <v>85.42</v>
    <v>85.81</v>
    <v>88.3</v>
    <v>89.05</v>
    <v>90.58</v>
    <v>87.74</v>
    <v>86.47</v>
    <v>87.87</v>
    <v>87.89</v>
    <v>87.49</v>
    <v>84.14</v>
    <v>86.03</v>
    <v>82.69</v>
    <v>81.349999999999994</v>
    <v>82.91</v>
    <v>85.33</v>
    <v>82.28</v>
    <v>80.28</v>
    <v>80.59</v>
    <v>82.25</v>
  </a>
  <a r="1" c="251">
    <v>134.80000000000001</v>
    <v>139.93</v>
    <v>131.06</v>
    <v>133.71</v>
    <v>126.32</v>
    <v>115.75</v>
    <v>114.42</v>
    <v>106.93</v>
    <v>104.01</v>
    <v>105.61</v>
    <v>88.39</v>
    <v>85.43</v>
    <v>78.34</v>
    <v>77.36</v>
    <v>75.33</v>
    <v>74.900000000000006</v>
    <v>74.92</v>
    <v>69.209999999999994</v>
    <v>71.650000000000006</v>
    <v>73.599999999999994</v>
    <v>71.290000000000006</v>
    <v>74.290000000000006</v>
    <v>73.12</v>
    <v>77.06</v>
    <v>76.03</v>
    <v>79.36</v>
    <v>85.75</v>
    <v>88.3</v>
    <v>86.24</v>
    <v>90.66</v>
    <v>88.16</v>
    <v>87.38</v>
    <v>78.59</v>
    <v>72.349999999999994</v>
    <v>69.5</v>
    <v>64.55</v>
    <v>67.680000000000007</v>
    <v>83</v>
    <v>84.83</v>
    <v>80.260000000000005</v>
    <v>78.87</v>
    <v>76.42</v>
    <v>74.92</v>
    <v>73.900000000000006</v>
    <v>71.61</v>
    <v>79.319999999999993</v>
    <v>76.86</v>
    <v>77.94</v>
    <v>77.180000000000007</v>
    <v>77.09</v>
    <v>80.14</v>
    <v>89.93</v>
    <v>87.48</v>
    <v>89.8</v>
    <v>95.01</v>
    <v>101.23</v>
    <v>95.22</v>
    <v>94.05</v>
    <v>91.79</v>
    <v>92.98</v>
    <v>98.31</v>
    <v>108.86</v>
    <v>106.02</v>
    <v>99.53</v>
    <v>93.19</v>
    <v>88.94</v>
    <v>90.06</v>
    <v>82.46</v>
    <v>74.650000000000006</v>
    <v>89.95</v>
    <v>96.79</v>
    <v>95.11</v>
    <v>95.15</v>
    <v>95.7</v>
    <v>96.04</v>
    <v>91</v>
    <v>95.45</v>
    <v>97.14</v>
    <v>89.25</v>
    <v>90.84</v>
    <v>99.3</v>
    <v>98.01</v>
    <v>97.63</v>
    <v>79.56</v>
    <v>78.05</v>
    <v>73.78</v>
    <v>79.5</v>
    <v>74.819999999999993</v>
    <v>72.989999999999995</v>
    <v>74.41</v>
    <v>74.92</v>
    <v>81.96</v>
    <v>79.86</v>
    <v>81.11</v>
    <v>85.86</v>
    <v>82.12</v>
    <v>82.82</v>
    <v>80.66</v>
    <v>81.47</v>
    <v>81.96</v>
    <v>83.02</v>
    <v>87.58</v>
    <v>80.45</v>
    <v>74.81</v>
    <v>69.150000000000006</v>
    <v>77.47</v>
    <v>78.44</v>
    <v>82.24</v>
    <v>80.94</v>
    <v>85.24</v>
    <v>88.9</v>
    <v>92</v>
    <v>102</v>
    <v>110.27</v>
    <v>117.2</v>
    <v>118.69</v>
    <v>119.56</v>
    <v>116.85</v>
    <v>117.43</v>
    <v>115.16</v>
    <v>122.54</v>
    <v>117.42</v>
    <v>110.14</v>
    <v>112.06</v>
    <v>105.53</v>
    <v>114.19</v>
    <v>111.6</v>
    <v>119.01</v>
    <v>125.43</v>
    <v>127.89</v>
    <v>137.97999999999999</v>
    <v>128.84</v>
    <v>114.15</v>
    <v>114.7</v>
    <v>107.75</v>
    <v>111.31</v>
    <v>114.215</v>
    <v>107.3</v>
    <v>103.77</v>
    <v>99.81</v>
    <v>101.28</v>
    <v>107.58</v>
    <v>105.49</v>
    <v>105.89</v>
    <v>104.27</v>
    <v>106.86</v>
    <v>109.53</v>
    <v>124.82</v>
    <v>119.27</v>
    <v>110.93</v>
    <v>108.03</v>
    <v>100.39</v>
    <v>102.37</v>
    <v>98.45</v>
    <v>95.61</v>
    <v>95.74</v>
    <v>100.55</v>
    <v>106.71</v>
    <v>117.03</v>
    <v>115.21</v>
    <v>117.95</v>
    <v>111.29</v>
    <v>105.72</v>
    <v>100.88</v>
    <v>98.76</v>
    <v>96.58</v>
    <v>95.51</v>
    <v>99.54</v>
    <v>85.685000000000002</v>
    <v>81.745000000000005</v>
    <v>86.46</v>
    <v>83.53</v>
    <v>90</v>
    <v>89.7</v>
    <v>88.88</v>
    <v>83.31</v>
    <v>79.94</v>
    <v>77.12</v>
    <v>72.91</v>
    <v>73.209999999999994</v>
    <v>73.06</v>
    <v>79.58</v>
    <v>82.64</v>
    <v>81.099999999999994</v>
    <v>71.88</v>
    <v>70.790000000000006</v>
    <v>67.3</v>
    <v>60.82</v>
    <v>73.900000000000006</v>
    <v>71.77</v>
    <v>85.76</v>
    <v>91.9</v>
    <v>89.89</v>
    <v>85.33</v>
    <v>90.67</v>
    <v>88.19</v>
    <v>90.32</v>
    <v>107.73</v>
    <v>106.29</v>
    <v>105.26</v>
    <v>106</v>
    <v>93.17</v>
    <v>90.87</v>
    <v>89.76</v>
    <v>87.85</v>
    <v>86.25</v>
    <v>88.04</v>
    <v>88.01</v>
    <v>86.8</v>
    <v>84.23</v>
    <v>84.89</v>
    <v>81.849999999999994</v>
    <v>80.930000000000007</v>
    <v>84.56</v>
    <v>89.36</v>
    <v>99.83</v>
    <v>94.94</v>
    <v>89.12</v>
    <v>88.99</v>
    <v>82.98</v>
    <v>80.92</v>
    <v>83.35</v>
    <v>79.88</v>
    <v>81.36</v>
    <v>85.43</v>
    <v>86.76</v>
    <v>86.9</v>
    <v>90.13</v>
    <v>87.59</v>
    <v>85.07</v>
    <v>85.93</v>
    <v>87.12</v>
    <v>88.57</v>
    <v>89.62</v>
    <v>87.39</v>
    <v>91.72</v>
    <v>88.45</v>
    <v>81.58</v>
    <v>82.08</v>
    <v>80.260000000000005</v>
    <v>77.81</v>
    <v>65.78</v>
    <v>69.69</v>
    <v>61.39</v>
    <v>61.12</v>
    <v>62.13</v>
    <v>61.82</v>
    <v>55.6</v>
    <v>54.234999999999999</v>
    <v>55.19</v>
    <v>59.57</v>
  </a>
  <a r="1" c="251">
    <v>190.57</v>
    <v>199.27</v>
    <v>193.76</v>
    <v>192.86</v>
    <v>191.4</v>
    <v>180.82</v>
    <v>190.71</v>
    <v>183.02</v>
    <v>179.8</v>
    <v>187.84</v>
    <v>179.05</v>
    <v>173.37</v>
    <v>163.63999999999999</v>
    <v>170.97</v>
    <v>166.65</v>
    <v>164.86</v>
    <v>170.65</v>
    <v>159.61000000000001</v>
    <v>159.83000000000001</v>
    <v>168.91</v>
    <v>169.57</v>
    <v>172.02</v>
    <v>179.73</v>
    <v>179.22</v>
    <v>180.91</v>
    <v>178.88</v>
    <v>182.54</v>
    <v>189.02</v>
    <v>185.61</v>
    <v>178.38</v>
    <v>181.82</v>
    <v>178.66</v>
    <v>161.27000000000001</v>
    <v>161.74</v>
    <v>160.66</v>
    <v>149.83000000000001</v>
    <v>154.38999999999999</v>
    <v>159.82</v>
    <v>166.25</v>
    <v>166.26</v>
    <v>166.87</v>
    <v>167.58</v>
    <v>165.62</v>
    <v>164.34</v>
    <v>162.01</v>
    <v>175.61</v>
    <v>173.95</v>
    <v>174.95</v>
    <v>171.54</v>
    <v>160.78</v>
    <v>163.58000000000001</v>
    <v>170.03</v>
    <v>172.72</v>
    <v>170.86</v>
    <v>172.54</v>
    <v>176.93</v>
    <v>175.18</v>
    <v>181.47</v>
    <v>181.12</v>
    <v>182.49</v>
    <v>181.23</v>
    <v>189.21</v>
    <v>193.76</v>
    <v>195.1</v>
    <v>186.18</v>
    <v>190.01</v>
    <v>190.15</v>
    <v>182.56</v>
    <v>177.75</v>
    <v>195.58</v>
    <v>202</v>
    <v>199.62</v>
    <v>248.51</v>
    <v>236.51</v>
    <v>234.53</v>
    <v>243.53</v>
    <v>243.21</v>
    <v>243.06</v>
    <v>243.75</v>
    <v>245.42</v>
    <v>253.15</v>
    <v>262.19</v>
    <v>259.23</v>
    <v>254.89</v>
    <v>257.75</v>
    <v>244.44</v>
    <v>251.28</v>
    <v>249.75</v>
    <v>241.78</v>
    <v>264.35000000000002</v>
    <v>270.06</v>
    <v>268.26</v>
    <v>265.38</v>
    <v>258.88</v>
    <v>264.74</v>
    <v>268.41000000000003</v>
    <v>264.70999999999998</v>
    <v>269.17</v>
    <v>255.88</v>
    <v>256</v>
    <v>270.89</v>
    <v>276.16000000000003</v>
    <v>252.4</v>
    <v>251.07</v>
    <v>234.22</v>
    <v>250.58</v>
    <v>259.37</v>
    <v>261.29000000000002</v>
    <v>258.73</v>
    <v>262.3</v>
    <v>281.02999999999997</v>
    <v>287.64</v>
    <v>295.11</v>
    <v>299.95999999999998</v>
    <v>310.51</v>
    <v>301.16000000000003</v>
    <v>294.13</v>
    <v>307.33999999999997</v>
    <v>314.41000000000003</v>
    <v>312.44</v>
    <v>305.14</v>
    <v>321.75</v>
    <v>323.45999999999998</v>
    <v>322.43</v>
    <v>305.02999999999997</v>
    <v>306.18</v>
    <v>328.49</v>
    <v>328.31</v>
    <v>330.97</v>
    <v>341.02</v>
    <v>358.92</v>
    <v>340.01</v>
    <v>339.97</v>
    <v>367.92</v>
    <v>367.13</v>
    <v>369.99</v>
    <v>376.23</v>
    <v>370.94</v>
    <v>339.73</v>
    <v>322.63</v>
    <v>315.67</v>
    <v>323.39999999999998</v>
    <v>327.45999999999998</v>
    <v>323.91000000000003</v>
    <v>319.77999999999997</v>
    <v>314.18</v>
    <v>315.70999999999998</v>
    <v>323.39</v>
    <v>334.49</v>
    <v>331.44</v>
    <v>323.92</v>
    <v>300.51</v>
    <v>300.57</v>
    <v>289.52</v>
    <v>280.98</v>
    <v>297.88</v>
    <v>302.87</v>
    <v>311.93</v>
    <v>299.60000000000002</v>
    <v>317.58</v>
    <v>333.05</v>
    <v>357.96</v>
    <v>318.32</v>
    <v>316.43</v>
    <v>325.57</v>
    <v>303.95</v>
    <v>306.97000000000003</v>
    <v>334.82</v>
    <v>311.42</v>
    <v>300.52999999999997</v>
    <v>318.47000000000003</v>
    <v>305.58</v>
    <v>317.81</v>
    <v>323.92</v>
    <v>318.86</v>
    <v>305.87</v>
    <v>303.58</v>
    <v>304.57</v>
    <v>294.11</v>
    <v>289.56</v>
    <v>291.67</v>
    <v>304.5</v>
    <v>301.16000000000003</v>
    <v>304.04000000000002</v>
    <v>290.36</v>
    <v>287.60000000000002</v>
    <v>269.56</v>
    <v>223.04</v>
    <v>227.5</v>
    <v>241.57</v>
    <v>263.05</v>
    <v>269.93</v>
    <v>277.94</v>
    <v>275.17</v>
    <v>272.39999999999998</v>
    <v>270.10000000000002</v>
    <v>281.81</v>
    <v>288.36</v>
    <v>287.07</v>
    <v>293.83999999999997</v>
    <v>292.43</v>
    <v>272.54000000000002</v>
    <v>261</v>
    <v>264.63</v>
    <v>261.95</v>
    <v>254.97</v>
    <v>255.75</v>
    <v>263.81</v>
    <v>269.27999999999997</v>
    <v>257.08</v>
    <v>258.72000000000003</v>
    <v>255.97</v>
    <v>256.7</v>
    <v>268.83</v>
    <v>280.52999999999997</v>
    <v>290.83</v>
    <v>262.89</v>
    <v>248.13</v>
    <v>257.06</v>
    <v>237.39</v>
    <v>234.61</v>
    <v>239.41</v>
    <v>241.49</v>
    <v>249.39</v>
    <v>250.86</v>
    <v>253.46</v>
    <v>248.78</v>
    <v>245.3</v>
    <v>253.28</v>
    <v>244.04</v>
    <v>248.34</v>
    <v>241.31</v>
    <v>246.12</v>
    <v>252.18</v>
    <v>253.62</v>
    <v>253.14</v>
    <v>246.49</v>
    <v>243.73</v>
    <v>242.78</v>
    <v>239.36</v>
    <v>237.29</v>
    <v>222.83</v>
    <v>214.75</v>
    <v>206.42</v>
    <v>206.08</v>
    <v>203.56</v>
    <v>212.15</v>
    <v>195.59</v>
    <v>194.32</v>
    <v>199.78</v>
    <v>208.56</v>
  </a>
  <a r="1" c="251">
    <v>103.17</v>
    <v>102.46</v>
    <v>102.23</v>
    <v>101.18</v>
    <v>101.59</v>
    <v>102.27</v>
    <v>101.47</v>
    <v>101.68</v>
    <v>102.59</v>
    <v>102.42</v>
    <v>103.44</v>
    <v>103.44</v>
    <v>102.54</v>
    <v>102.48</v>
    <v>102.95</v>
    <v>101.39</v>
    <v>100.61</v>
    <v>107.11</v>
    <v>105.32</v>
    <v>104.06</v>
    <v>107</v>
    <v>109.1</v>
    <v>110.51</v>
    <v>111.53</v>
    <v>112.41</v>
    <v>114.41</v>
    <v>114.84</v>
    <v>115.11</v>
    <v>113.56</v>
    <v>115.06</v>
    <v>113.18</v>
    <v>115.52</v>
    <v>116.7</v>
    <v>116.79</v>
    <v>115.42</v>
    <v>115.66</v>
    <v>114.83</v>
    <v>114.36</v>
    <v>112.6</v>
    <v>110.9</v>
    <v>111.61</v>
    <v>111.74</v>
    <v>112.53</v>
    <v>111.92</v>
    <v>111.41</v>
    <v>112.76</v>
    <v>112.71</v>
    <v>114.34</v>
    <v>112.72</v>
    <v>113.07</v>
    <v>114.53</v>
    <v>117.97</v>
    <v>120.36</v>
    <v>120.04</v>
    <v>119.2</v>
    <v>119.7</v>
    <v>118.71</v>
    <v>119.36</v>
    <v>117.83</v>
    <v>117.73</v>
    <v>117.64</v>
    <v>116.94</v>
    <v>116.57</v>
    <v>117.41</v>
    <v>119.14</v>
    <v>124.06</v>
    <v>127.71</v>
    <v>128</v>
    <v>126.94</v>
    <v>131.18</v>
    <v>129.02000000000001</v>
    <v>126.7</v>
    <v>128.77000000000001</v>
    <v>133.63999999999999</v>
    <v>133.88999999999999</v>
    <v>128.85</v>
    <v>126.62</v>
    <v>124.87</v>
    <v>122.99</v>
    <v>125.81</v>
    <v>126.75</v>
    <v>125.75</v>
    <v>124.42</v>
    <v>127.95</v>
    <v>127.1</v>
    <v>127.91</v>
    <v>127.81</v>
    <v>123.31</v>
    <v>123.8</v>
    <v>124.34</v>
    <v>125.12</v>
    <v>123.49</v>
    <v>125.33</v>
    <v>126.52</v>
    <v>125.99</v>
    <v>125.08</v>
    <v>121.98</v>
    <v>121.09</v>
    <v>119.02</v>
    <v>120.72</v>
    <v>122.05</v>
    <v>123.06</v>
    <v>122.18</v>
    <v>122.89</v>
    <v>123.5</v>
    <v>124.28</v>
    <v>124.74</v>
    <v>125.79</v>
    <v>126.79</v>
    <v>122.49</v>
    <v>127.26</v>
    <v>129.13</v>
    <v>126.77</v>
    <v>124.57</v>
    <v>125.05</v>
    <v>124.76</v>
    <v>124.82</v>
    <v>127.5</v>
    <v>127.92</v>
    <v>129.6</v>
    <v>129.97999999999999</v>
    <v>132.03</v>
    <v>129.91999999999999</v>
    <v>127.59</v>
    <v>127.59</v>
    <v>128.01</v>
    <v>131.93</v>
    <v>131.6</v>
    <v>130.33000000000001</v>
    <v>130.79</v>
    <v>130.08000000000001</v>
    <v>130.19999999999999</v>
    <v>130.43</v>
    <v>127.59</v>
    <v>130.35</v>
    <v>131.47</v>
    <v>132.46</v>
    <v>131.44999999999999</v>
    <v>133.34</v>
    <v>134.19999999999999</v>
    <v>130.85</v>
    <v>121.34</v>
    <v>120.27</v>
    <v>118.57</v>
    <v>118.54</v>
    <v>118.9</v>
    <v>115.75</v>
    <v>114.6</v>
    <v>113.06</v>
    <v>116.89</v>
    <v>117.74</v>
    <v>118.88</v>
    <v>119.83</v>
    <v>118.88</v>
    <v>120.59</v>
    <v>120.5</v>
    <v>121.04</v>
    <v>120.82</v>
    <v>121.03</v>
    <v>118.13</v>
    <v>117.18</v>
    <v>117.18</v>
    <v>119.42</v>
    <v>119</v>
    <v>115.78</v>
    <v>115.69</v>
    <v>114.6</v>
    <v>113.26</v>
    <v>108.82</v>
    <v>111.84</v>
    <v>110.65</v>
    <v>111.54</v>
    <v>113.1</v>
    <v>112.21</v>
    <v>113.9</v>
    <v>114.78</v>
    <v>113.7</v>
    <v>112.53</v>
    <v>114.95</v>
    <v>114.24</v>
    <v>112.2</v>
    <v>110.39</v>
    <v>109.33</v>
    <v>108.4</v>
    <v>109.47</v>
    <v>111.74</v>
    <v>113.1</v>
    <v>114.22</v>
    <v>111.1</v>
    <v>111.2</v>
    <v>110.71</v>
    <v>111.55</v>
    <v>112.34</v>
    <v>112.07</v>
    <v>111.85</v>
    <v>112.66</v>
    <v>113.26</v>
    <v>116.01</v>
    <v>115.72</v>
    <v>115.27</v>
    <v>114.33</v>
    <v>115.2</v>
    <v>114.3</v>
    <v>103.84</v>
    <v>103.7</v>
    <v>106.49</v>
    <v>105.38</v>
    <v>104.34</v>
    <v>102.63</v>
    <v>103.09</v>
    <v>104.87</v>
    <v>105.92</v>
    <v>106.09</v>
    <v>108.42</v>
    <v>107.14</v>
    <v>106.05</v>
    <v>105.83</v>
    <v>105.73</v>
    <v>107.15</v>
    <v>109.08</v>
    <v>108.09</v>
    <v>107.5</v>
    <v>106.79</v>
    <v>106.73</v>
    <v>107.44</v>
    <v>110.12</v>
    <v>110.53</v>
    <v>107.59</v>
    <v>107.98</v>
    <v>108.73</v>
    <v>106.8</v>
    <v>103.92</v>
    <v>104.26</v>
    <v>104.26</v>
    <v>105.07</v>
    <v>107.2</v>
    <v>108.16</v>
    <v>110.56</v>
    <v>111.35</v>
    <v>113.08</v>
    <v>112.28</v>
    <v>116.16</v>
    <v>117.87</v>
    <v>118.81</v>
    <v>118.7</v>
    <v>117.85</v>
    <v>117.8</v>
    <v>121.12</v>
    <v>119.89</v>
    <v>120.29</v>
    <v>119.32</v>
  </a>
  <a r="1" c="251">
    <v>229.25</v>
    <v>230.3</v>
    <v>222.86</v>
    <v>244.22</v>
    <v>254</v>
    <v>249.32</v>
    <v>250.2</v>
    <v>243.04</v>
    <v>244.41</v>
    <v>248.4</v>
    <v>249.1</v>
    <v>244.2</v>
    <v>237.58</v>
    <v>234.69</v>
    <v>232.87</v>
    <v>222.55</v>
    <v>222.69</v>
    <v>217.14</v>
    <v>220.69</v>
    <v>226.28</v>
    <v>229.67</v>
    <v>229.16</v>
    <v>233.22</v>
    <v>233.88</v>
    <v>234.42</v>
    <v>232.38</v>
    <v>229.11</v>
    <v>229.53</v>
    <v>226.89</v>
    <v>227.92</v>
    <v>231.78</v>
    <v>230.28</v>
    <v>226.19</v>
    <v>222.54</v>
    <v>222.56</v>
    <v>221.27</v>
    <v>226.76</v>
    <v>227.35</v>
    <v>228.43</v>
    <v>232.14</v>
    <v>232.38</v>
    <v>232.52</v>
    <v>232.07</v>
    <v>232.53</v>
    <v>230.82</v>
    <v>226.5</v>
    <v>233.06</v>
    <v>240.93</v>
    <v>241.56</v>
    <v>246.29</v>
    <v>247.38</v>
    <v>246.47</v>
    <v>242.6</v>
    <v>236.65</v>
    <v>238.18</v>
    <v>239.12</v>
    <v>231</v>
    <v>231.31</v>
    <v>234.34</v>
    <v>239.16</v>
    <v>238.42</v>
    <v>244.68</v>
    <v>243.01</v>
    <v>241.73</v>
    <v>239.3</v>
    <v>242.96</v>
    <v>238.62</v>
    <v>232.99</v>
    <v>222.69</v>
    <v>210.32</v>
    <v>208.72</v>
    <v>206.96</v>
    <v>204.08</v>
    <v>199.6</v>
    <v>198.79</v>
    <v>201.15</v>
    <v>204.79</v>
    <v>204.86</v>
    <v>210.11</v>
    <v>205.27</v>
    <v>208.56</v>
    <v>210.64</v>
    <v>207.92</v>
    <v>210</v>
    <v>208.39</v>
    <v>208.73</v>
    <v>216.82</v>
    <v>218.94</v>
    <v>213.21</v>
    <v>213.49</v>
    <v>214.33</v>
    <v>212.65</v>
    <v>209.53</v>
    <v>207.67</v>
    <v>211.74</v>
    <v>215.2</v>
    <v>209.87</v>
    <v>208.76</v>
    <v>205.37</v>
    <v>210.14</v>
    <v>207.24</v>
    <v>211.71</v>
    <v>207.54</v>
    <v>199.34</v>
    <v>200.95</v>
    <v>208.27</v>
    <v>210.57</v>
    <v>209.77</v>
    <v>212.79</v>
    <v>213.77</v>
    <v>221.25</v>
    <v>233.65</v>
    <v>238.38</v>
    <v>239.89</v>
    <v>249.02</v>
    <v>248.5</v>
    <v>249.7</v>
    <v>250.56</v>
    <v>248.28</v>
    <v>249.91</v>
    <v>255.36</v>
    <v>255.08</v>
    <v>263.99</v>
    <v>261.12</v>
    <v>259.7</v>
    <v>263.04000000000002</v>
    <v>265.06</v>
    <v>268.26</v>
    <v>272.05</v>
    <v>273.55</v>
    <v>274.99</v>
    <v>271.17</v>
    <v>272.68</v>
    <v>268.99</v>
    <v>265.82</v>
    <v>270.13</v>
    <v>267.22000000000003</v>
    <v>264.14</v>
    <v>264.86</v>
    <v>259.33999999999997</v>
    <v>265.01</v>
    <v>268.45999999999998</v>
    <v>266.32</v>
    <v>265.29000000000002</v>
    <v>271.85000000000002</v>
    <v>274</v>
    <v>270.64</v>
    <v>261.26</v>
    <v>256.52</v>
    <v>250.02</v>
    <v>253.79</v>
    <v>246.03</v>
    <v>245.22</v>
    <v>244.19</v>
    <v>238</v>
    <v>241.51</v>
    <v>238.55</v>
    <v>246.02</v>
    <v>246</v>
    <v>237.5</v>
    <v>244.39</v>
    <v>232.79</v>
    <v>234.11</v>
    <v>234.27</v>
    <v>227.01</v>
    <v>232.69</v>
    <v>240.14</v>
    <v>238.34</v>
    <v>241.7</v>
    <v>242.67</v>
    <v>244.16</v>
    <v>245.98</v>
    <v>243.62</v>
    <v>247.04</v>
    <v>245.34</v>
    <v>247.31</v>
    <v>247.49</v>
    <v>254.96</v>
    <v>249.89</v>
    <v>247.23</v>
    <v>249.99</v>
    <v>247.55</v>
    <v>244.85</v>
    <v>233.66</v>
    <v>232.11</v>
    <v>231.39</v>
    <v>230.86</v>
    <v>226.65</v>
    <v>235.5</v>
    <v>271.58</v>
    <v>284.02</v>
    <v>277.42</v>
    <v>272.64999999999998</v>
    <v>272.26</v>
    <v>274.48</v>
    <v>278.08999999999997</v>
    <v>272.27</v>
    <v>267.27999999999997</v>
    <v>265.13</v>
    <v>262.64999999999998</v>
    <v>261.31</v>
    <v>259.45</v>
    <v>265.83999999999997</v>
    <v>260.11</v>
    <v>258.63</v>
    <v>262.07</v>
    <v>261.06</v>
    <v>260.27999999999997</v>
    <v>256.26</v>
    <v>266.43</v>
    <v>259.77</v>
    <v>254.92</v>
    <v>254.98</v>
    <v>258.89999999999998</v>
    <v>258.51</v>
    <v>256.97000000000003</v>
    <v>252.4</v>
    <v>251.89</v>
    <v>256.77999999999997</v>
    <v>253.54</v>
    <v>248.42</v>
    <v>245.96</v>
    <v>251.19</v>
    <v>253.71</v>
    <v>258.45</v>
    <v>254.98</v>
    <v>249.27</v>
    <v>249.38</v>
    <v>249.67</v>
    <v>246.15</v>
    <v>246.67</v>
    <v>249.15</v>
    <v>248.23</v>
    <v>251.52</v>
    <v>251.4</v>
    <v>256.29000000000002</v>
    <v>259.92</v>
    <v>254.06</v>
    <v>262.43</v>
    <v>259.52999999999997</v>
    <v>258.58</v>
    <v>254.08</v>
    <v>254.76</v>
    <v>250</v>
    <v>262.45</v>
    <v>262.63</v>
    <v>262.37</v>
    <v>250.38</v>
    <v>248</v>
    <v>249.09</v>
    <v>253.1</v>
  </a>
  <a r="1" c="251">
    <v>75.069999999999993</v>
    <v>75.55</v>
    <v>74.73</v>
    <v>74.92</v>
    <v>74.39</v>
    <v>73.739999999999995</v>
    <v>74.61</v>
    <v>74.22</v>
    <v>75.59</v>
    <v>76.56</v>
    <v>77.010000000000005</v>
    <v>76.41</v>
    <v>75.92</v>
    <v>75.760000000000005</v>
    <v>75.400000000000006</v>
    <v>75.31</v>
    <v>73.67</v>
    <v>73.209999999999994</v>
    <v>73.27</v>
    <v>73.23</v>
    <v>72.8</v>
    <v>73.41</v>
    <v>73.77</v>
    <v>74.31</v>
    <v>73.959999999999994</v>
    <v>75.12</v>
    <v>74.5</v>
    <v>73.010000000000005</v>
    <v>72.7</v>
    <v>72.55</v>
    <v>72.88</v>
    <v>72.86</v>
    <v>72.33</v>
    <v>72.23</v>
    <v>70.459999999999994</v>
    <v>71.55</v>
    <v>71.31</v>
    <v>72.02</v>
    <v>72.58</v>
    <v>73.069999999999993</v>
    <v>72.84</v>
    <v>72.81</v>
    <v>73.12</v>
    <v>73.83</v>
    <v>73.48</v>
    <v>75.44</v>
    <v>75.03</v>
    <v>72.900000000000006</v>
    <v>71.540000000000006</v>
    <v>70.31</v>
    <v>70.83</v>
    <v>71.66</v>
    <v>73.180000000000007</v>
    <v>74.349999999999994</v>
    <v>73.42</v>
    <v>74.25</v>
    <v>73.11</v>
    <v>73.81</v>
    <v>72.42</v>
    <v>73.75</v>
    <v>73.25</v>
    <v>75.45</v>
    <v>75.790000000000006</v>
    <v>77.47</v>
    <v>77.03</v>
    <v>75.73</v>
    <v>77.63</v>
    <v>78.790000000000006</v>
    <v>74.63</v>
    <v>75.290000000000006</v>
    <v>77.8</v>
    <v>77.900000000000006</v>
    <v>80.23</v>
    <v>78.22</v>
    <v>78.77</v>
    <v>77.94</v>
    <v>79.87</v>
    <v>80.38</v>
    <v>79.78</v>
    <v>79.97</v>
    <v>80.78</v>
    <v>82.28</v>
    <v>81.180000000000007</v>
    <v>83.51</v>
    <v>84.22</v>
    <v>82.33</v>
    <v>82.7</v>
    <v>82.94</v>
    <v>84.7</v>
    <v>85.59</v>
    <v>85.11</v>
    <v>87.4</v>
    <v>88.36</v>
    <v>89.43</v>
    <v>90.48</v>
    <v>91.97</v>
    <v>92.75</v>
    <v>91.19</v>
    <v>90.44</v>
    <v>90.71</v>
    <v>91.12</v>
    <v>91.88</v>
    <v>92.16</v>
    <v>92.17</v>
    <v>92.74</v>
    <v>93</v>
    <v>92.03</v>
    <v>93.1</v>
    <v>93.64</v>
    <v>94.15</v>
    <v>92.01</v>
    <v>91.09</v>
    <v>92.21</v>
    <v>92.6</v>
    <v>91.36</v>
    <v>89.84</v>
    <v>91.5</v>
    <v>87.81</v>
    <v>88</v>
    <v>88.66</v>
    <v>89.49</v>
    <v>89.27</v>
    <v>89.13</v>
    <v>86.91</v>
    <v>87.59</v>
    <v>88.91</v>
    <v>90.67</v>
    <v>88.98</v>
    <v>89.26</v>
    <v>89.71</v>
    <v>87.2</v>
    <v>84.24</v>
    <v>83.97</v>
    <v>85.36</v>
    <v>85.35</v>
    <v>84.93</v>
    <v>84.51</v>
    <v>85.36</v>
    <v>88.59</v>
    <v>88.46</v>
    <v>86.72</v>
    <v>86.93</v>
    <v>85.71</v>
    <v>85.03</v>
    <v>83.81</v>
    <v>83.83</v>
    <v>84.12</v>
    <v>85.41</v>
    <v>86.82</v>
    <v>86.77</v>
    <v>86.73</v>
    <v>85.4</v>
    <v>86.65</v>
    <v>85.43</v>
    <v>86.05</v>
    <v>85.85</v>
    <v>85.66</v>
    <v>82.61</v>
    <v>82.25</v>
    <v>80.38</v>
    <v>78.81</v>
    <v>79.66</v>
    <v>79.510000000000005</v>
    <v>77.7</v>
    <v>77.33</v>
    <v>76.53</v>
    <v>76.89</v>
    <v>77.540000000000006</v>
    <v>76.569999999999993</v>
    <v>78.02</v>
    <v>78.14</v>
    <v>81.99</v>
    <v>82.24</v>
    <v>81.400000000000006</v>
    <v>82.23</v>
    <v>83.98</v>
    <v>84.41</v>
    <v>84.64</v>
    <v>85.08</v>
    <v>87.32</v>
    <v>86.2</v>
    <v>87.2</v>
    <v>87.77</v>
    <v>87.95</v>
    <v>88.38</v>
    <v>86.37</v>
    <v>86.2</v>
    <v>88.34</v>
    <v>90.51</v>
    <v>91.98</v>
    <v>91.08</v>
    <v>89.84</v>
    <v>87.76</v>
    <v>89.6</v>
    <v>88.5</v>
    <v>89.95</v>
    <v>90.5</v>
    <v>90.07</v>
    <v>89.92</v>
    <v>90.47</v>
    <v>91.62</v>
    <v>92.01</v>
    <v>92.77</v>
    <v>93.65</v>
    <v>93.33</v>
    <v>93</v>
    <v>92.22</v>
    <v>91.11</v>
    <v>90.7</v>
    <v>90.91</v>
    <v>91.45</v>
    <v>93.51</v>
    <v>92.8</v>
    <v>92.33</v>
    <v>92.95</v>
    <v>95.32</v>
    <v>95.6</v>
    <v>95.96</v>
    <v>96.77</v>
    <v>96.45</v>
    <v>98.95</v>
    <v>95.7</v>
    <v>95.82</v>
    <v>94.54</v>
    <v>93.27</v>
    <v>93.93</v>
    <v>95.41</v>
    <v>95.6</v>
    <v>95.78</v>
    <v>96.47</v>
    <v>95.14</v>
    <v>95.05</v>
    <v>95.61</v>
    <v>96.23</v>
    <v>96.52</v>
    <v>97.62</v>
    <v>96.85</v>
    <v>100.2</v>
    <v>100.18</v>
    <v>101.59</v>
    <v>102.99</v>
    <v>103.58</v>
    <v>103.55</v>
    <v>106.66</v>
    <v>104.82</v>
    <v>105.54</v>
    <v>105.36</v>
    <v>105.8</v>
    <v>108.18</v>
    <v>106.91</v>
    <v>104.78</v>
  </a>
  <a r="1" c="251">
    <v>70.040000000000006</v>
    <v>70.489999999999995</v>
    <v>70.37</v>
    <v>70.069999999999993</v>
    <v>70.459999999999994</v>
    <v>69.849999999999994</v>
    <v>70.92</v>
    <v>72.010000000000005</v>
    <v>71.27</v>
    <v>72.040000000000006</v>
    <v>72.53</v>
    <v>73.489999999999995</v>
    <v>73.16</v>
    <v>72.56</v>
    <v>71.22</v>
    <v>69.59</v>
    <v>69.14</v>
    <v>67.56</v>
    <v>68.959999999999994</v>
    <v>68.95</v>
    <v>69.510000000000005</v>
    <v>70.58</v>
    <v>71.16</v>
    <v>71.36</v>
    <v>72</v>
    <v>72.010000000000005</v>
    <v>71.709999999999994</v>
    <v>71</v>
    <v>71.02</v>
    <v>70.790000000000006</v>
    <v>74.08</v>
    <v>75.239999999999995</v>
    <v>74.989999999999995</v>
    <v>75.28</v>
    <v>74.66</v>
    <v>76.099999999999994</v>
    <v>76.760000000000005</v>
    <v>77.92</v>
    <v>78.73</v>
    <v>79.28</v>
    <v>79.58</v>
    <v>79.97</v>
    <v>78.849999999999994</v>
    <v>79.28</v>
    <v>78.67</v>
    <v>80.45</v>
    <v>81.28</v>
    <v>82.08</v>
    <v>80.260000000000005</v>
    <v>80.489999999999995</v>
    <v>80.19</v>
    <v>81.31</v>
    <v>81.52</v>
    <v>81.760000000000005</v>
    <v>82.83</v>
    <v>82.53</v>
    <v>82.5</v>
    <v>83.17</v>
    <v>83.75</v>
    <v>83.94</v>
    <v>85.09</v>
    <v>88.49</v>
    <v>87</v>
    <v>88.54</v>
    <v>88.01</v>
    <v>89.6</v>
    <v>88.98</v>
    <v>89.41</v>
    <v>86.87</v>
    <v>89.29</v>
    <v>90.72</v>
    <v>89.49</v>
    <v>89.42</v>
    <v>86.79</v>
    <v>85.15</v>
    <v>86.57</v>
    <v>88.1</v>
    <v>86.84</v>
    <v>88.15</v>
    <v>87.4</v>
    <v>87.88</v>
    <v>94.2</v>
    <v>94.5</v>
    <v>93.16</v>
    <v>89.73</v>
    <v>85.49</v>
    <v>87.19</v>
    <v>85.75</v>
    <v>84.05</v>
    <v>85.49</v>
    <v>85.84</v>
    <v>85.97</v>
    <v>82.16</v>
    <v>78.19</v>
    <v>80.31</v>
    <v>80.900000000000006</v>
    <v>79.94</v>
    <v>79.459999999999994</v>
    <v>76.95</v>
    <v>79.83</v>
    <v>79.27</v>
    <v>81.22</v>
    <v>79.63</v>
    <v>79.19</v>
    <v>79.349999999999994</v>
    <v>82.49</v>
    <v>85.46</v>
    <v>84.41</v>
    <v>84.64</v>
    <v>85.15</v>
    <v>90.27</v>
    <v>90.27</v>
    <v>90.26</v>
    <v>90.98</v>
    <v>91.37</v>
    <v>90.93</v>
    <v>90.52</v>
    <v>92.16</v>
    <v>91.59</v>
    <v>90.64</v>
    <v>90.47</v>
    <v>89.64</v>
    <v>89.69</v>
    <v>89.96</v>
    <v>89.97</v>
    <v>89.28</v>
    <v>91.86</v>
    <v>91.95</v>
    <v>90.13</v>
    <v>87.4</v>
    <v>91.4</v>
    <v>88.97</v>
    <v>90.16</v>
    <v>90.55</v>
    <v>89.97</v>
    <v>90.63</v>
    <v>90.72</v>
    <v>88.38</v>
    <v>90.13</v>
    <v>88.47</v>
    <v>91.99</v>
    <v>92.05</v>
    <v>92.02</v>
    <v>93.74</v>
    <v>94.68</v>
    <v>92.95</v>
    <v>93.74</v>
    <v>93.18</v>
    <v>95.21</v>
    <v>93.64</v>
    <v>92.62</v>
    <v>90.8</v>
    <v>91.53</v>
    <v>89.34</v>
    <v>86.16</v>
    <v>90.72</v>
    <v>92.67</v>
    <v>92.92</v>
    <v>94.45</v>
    <v>95.23</v>
    <v>94.97</v>
    <v>96.51</v>
    <v>95.59</v>
    <v>93.85</v>
    <v>95.06</v>
    <v>93.75</v>
    <v>95.08</v>
    <v>95.09</v>
    <v>95.81</v>
    <v>96.78</v>
    <v>98.74</v>
    <v>97.4</v>
    <v>96.09</v>
    <v>98.02</v>
    <v>99.09</v>
    <v>98.09</v>
    <v>99.25</v>
    <v>100.46</v>
    <v>100.52</v>
    <v>100.61</v>
    <v>99.01</v>
    <v>101.12</v>
    <v>103.11</v>
    <v>101.75</v>
    <v>103.4</v>
    <v>103.97</v>
    <v>103.7</v>
    <v>102.6</v>
    <v>107.09</v>
    <v>106.42</v>
    <v>107.86</v>
    <v>106.04</v>
    <v>102.68</v>
    <v>102.56</v>
    <v>103.73</v>
    <v>103.32</v>
    <v>103.21</v>
    <v>104.12</v>
    <v>104.05</v>
    <v>103.79</v>
    <v>103.8</v>
    <v>103.18</v>
    <v>102.3</v>
    <v>102.33</v>
    <v>104.15</v>
    <v>104.09</v>
    <v>104.38</v>
    <v>103.65</v>
    <v>102.85</v>
    <v>103.53</v>
    <v>103.14</v>
    <v>103.4</v>
    <v>104.94</v>
    <v>106.46</v>
    <v>107.11</v>
    <v>106.26</v>
    <v>105.11</v>
    <v>103.7</v>
    <v>105.3</v>
    <v>103.94</v>
    <v>102.22</v>
    <v>100.84</v>
    <v>102.84</v>
    <v>101.83</v>
    <v>103.21</v>
    <v>101.59</v>
    <v>100.25</v>
    <v>100.17</v>
    <v>100.95</v>
    <v>101.18</v>
    <v>100.72</v>
    <v>99.31</v>
    <v>95.82</v>
    <v>96.14</v>
    <v>96.68</v>
    <v>97.58</v>
    <v>93.71</v>
    <v>92.61</v>
    <v>92.98</v>
    <v>94.32</v>
    <v>94.85</v>
    <v>93.91</v>
    <v>94.54</v>
    <v>94.57</v>
    <v>92.96</v>
    <v>92.74</v>
    <v>93.9</v>
    <v>91.89</v>
    <v>90.68</v>
    <v>91.21</v>
    <v>86.01</v>
  </a>
  <a r="1" c="245">
    <v t="i">0</v>
    <v t="i">1</v>
    <v t="i">2</v>
    <v t="i">3</v>
    <v t="i">6</v>
    <v t="i">7</v>
    <v t="i">8</v>
    <v t="i">9</v>
    <v t="i">10</v>
    <v t="i">13</v>
    <v t="i">14</v>
    <v t="i">15</v>
    <v t="i">16</v>
    <v t="i">17</v>
    <v t="i">20</v>
    <v t="i">21</v>
    <v t="i">22</v>
    <v t="i">23</v>
    <v t="i">24</v>
    <v t="i">28</v>
    <v t="i">29</v>
    <v t="i">30</v>
    <v t="i">31</v>
    <v t="i">34</v>
    <v t="i">35</v>
    <v t="i">36</v>
    <v t="i">37</v>
    <v t="i">38</v>
    <v t="i">42</v>
    <v t="i">43</v>
    <v t="i">44</v>
    <v t="i">45</v>
    <v t="i">48</v>
    <v t="i">49</v>
    <v t="i">50</v>
    <v t="i">51</v>
    <v t="i">52</v>
    <v t="i">55</v>
    <v t="i">56</v>
    <v t="i">57</v>
    <v t="i">59</v>
    <v t="i">62</v>
    <v t="i">63</v>
    <v t="i">66</v>
    <v t="i">69</v>
    <v t="i">70</v>
    <v t="i">71</v>
    <v t="i">72</v>
    <v t="i">73</v>
    <v t="i">76</v>
    <v t="i">77</v>
    <v t="i">78</v>
    <v t="i">79</v>
    <v t="i">80</v>
    <v t="i">83</v>
    <v t="i">84</v>
    <v t="i">85</v>
    <v t="i">86</v>
    <v t="i">87</v>
    <v t="i">90</v>
    <v t="i">91</v>
    <v t="i">92</v>
    <v t="i">93</v>
    <v t="i">94</v>
    <v t="i">97</v>
    <v t="i">98</v>
    <v t="i">99</v>
    <v t="i">100</v>
    <v t="i">101</v>
    <v t="i">104</v>
    <v t="i">105</v>
    <v t="i">106</v>
    <v t="i">107</v>
    <v t="i">108</v>
    <v t="i">113</v>
    <v t="i">114</v>
    <v t="i">115</v>
    <v t="i">118</v>
    <v t="i">119</v>
    <v t="i">120</v>
    <v t="i">121</v>
    <v t="i">122</v>
    <v t="i">125</v>
    <v t="i">126</v>
    <v t="i">127</v>
    <v t="i">128</v>
    <v t="i">129</v>
    <v t="i">132</v>
    <v t="i">133</v>
    <v t="i">134</v>
    <v t="i">135</v>
    <v t="i">136</v>
    <v t="i">139</v>
    <v t="i">140</v>
    <v t="i">141</v>
    <v t="i">142</v>
    <v t="i">143</v>
    <v t="i">146</v>
    <v t="i">148</v>
    <v t="i">149</v>
    <v t="i">150</v>
    <v t="i">153</v>
    <v t="i">154</v>
    <v t="i">155</v>
    <v t="i">160</v>
    <v t="i">161</v>
    <v t="i">162</v>
    <v t="i">163</v>
    <v t="i">164</v>
    <v t="i">167</v>
    <v t="i">168</v>
    <v t="i">169</v>
    <v t="i">170</v>
    <v t="i">171</v>
    <v t="i">174</v>
    <v t="i">175</v>
    <v t="i">176</v>
    <v t="i">177</v>
    <v t="i">178</v>
    <v t="i">181</v>
    <v t="i">182</v>
    <v t="i">183</v>
    <v t="i">184</v>
    <v t="i">188</v>
    <v t="i">189</v>
    <v t="i">190</v>
    <v t="i">191</v>
    <v t="i">192</v>
    <v t="i">195</v>
    <v t="i">196</v>
    <v t="i">197</v>
    <v t="i">198</v>
    <v t="i">199</v>
    <v t="i">202</v>
    <v t="i">203</v>
    <v t="i">204</v>
    <v t="i">205</v>
    <v t="i">206</v>
    <v t="i">210</v>
    <v t="i">211</v>
    <v t="i">212</v>
    <v t="i">213</v>
    <v t="i">216</v>
    <v t="i">217</v>
    <v t="i">218</v>
    <v t="i">219</v>
    <v t="i">220</v>
    <v t="i">223</v>
    <v t="i">224</v>
    <v t="i">225</v>
    <v t="i">226</v>
    <v t="i">227</v>
    <v t="i">231</v>
    <v t="i">232</v>
    <v t="i">233</v>
    <v t="i">234</v>
    <v t="i">237</v>
    <v t="i">238</v>
    <v t="i">239</v>
    <v t="i">240</v>
    <v t="i">241</v>
    <v t="i">244</v>
    <v t="i">245</v>
    <v t="i">246</v>
    <v t="i">247</v>
    <v t="i">248</v>
    <v t="i">251</v>
    <v t="i">252</v>
    <v t="i">253</v>
    <v t="i">255</v>
    <v t="i">258</v>
    <v t="i">259</v>
    <v t="i">260</v>
    <v t="i">261</v>
    <v t="i">262</v>
    <v t="i">265</v>
    <v t="i">266</v>
    <v t="i">267</v>
    <v t="i">268</v>
    <v t="i">269</v>
    <v t="i">272</v>
    <v t="i">273</v>
    <v t="i">274</v>
    <v t="i">275</v>
    <v t="i">276</v>
    <v t="i">279</v>
    <v t="i">280</v>
    <v t="i">281</v>
    <v t="i">282</v>
    <v t="i">283</v>
    <v t="i">286</v>
    <v t="i">287</v>
    <v t="i">288</v>
    <v t="i">289</v>
    <v t="i">290</v>
    <v t="i">294</v>
    <v t="i">295</v>
    <v t="i">296</v>
    <v t="i">297</v>
    <v t="i">300</v>
    <v t="i">301</v>
    <v t="i">302</v>
    <v t="i">303</v>
    <v t="i">304</v>
    <v t="i">307</v>
    <v t="i">308</v>
    <v t="i">309</v>
    <v t="i">310</v>
    <v t="i">311</v>
    <v t="i">314</v>
    <v t="i">315</v>
    <v t="i">316</v>
    <v t="i">317</v>
    <v t="i">318</v>
    <v t="i">321</v>
    <v t="i">322</v>
    <v t="i">323</v>
    <v t="i">324</v>
    <v t="i">325</v>
    <v t="i">328</v>
    <v t="i">329</v>
    <v t="i">330</v>
    <v t="i">331</v>
    <v t="i">332</v>
    <v t="i">335</v>
    <v t="i">336</v>
    <v t="i">337</v>
    <v t="i">338</v>
    <v t="i">339</v>
    <v t="i">342</v>
    <v t="i">343</v>
    <v t="i">344</v>
    <v t="i">345</v>
    <v t="i">346</v>
    <v t="i">350</v>
    <v t="i">351</v>
    <v t="i">352</v>
    <v t="i">353</v>
    <v t="i">356</v>
    <v t="i">357</v>
    <v t="i">358</v>
    <v t="i">359</v>
    <v t="i">360</v>
    <v t="i">363</v>
    <v t="i">364</v>
  </a>
  <a r="1" c="245">
    <v>8.24</v>
    <v>8.6</v>
    <v>8.2100000000000009</v>
    <v>8.6</v>
    <v>8.91</v>
    <v>8.52</v>
    <v>8.5299999999999994</v>
    <v>8</v>
    <v>7.8</v>
    <v>8.25</v>
    <v>8.1999999999999993</v>
    <v>8.24</v>
    <v>8.17</v>
    <v>7.98</v>
    <v>7.9</v>
    <v>7.69</v>
    <v>7.75</v>
    <v>8.14</v>
    <v>7.58</v>
    <v>7.34</v>
    <v>7.57</v>
    <v>7.58</v>
    <v>7.5</v>
    <v>7.52</v>
    <v>7.62</v>
    <v>7.58</v>
    <v>7.64</v>
    <v>7.65</v>
    <v>7.75</v>
    <v>7.7</v>
    <v>7.81</v>
    <v>7.79</v>
    <v>7.31</v>
    <v>7.49</v>
    <v>7.43</v>
    <v>7.24</v>
    <v>7.56</v>
    <v>7.69</v>
    <v>7.87</v>
    <v>7.86</v>
    <v>8.25</v>
    <v>7.83</v>
    <v>7.92</v>
    <v>8.1</v>
    <v>8.09</v>
    <v>7.91</v>
    <v>7.95</v>
    <v>7.69</v>
    <v>7.99</v>
    <v>7.85</v>
    <v>7.74</v>
    <v>7.56</v>
    <v>7.88</v>
    <v>7.92</v>
    <v>7.81</v>
    <v>7.57</v>
    <v>7.63</v>
    <v>7.78</v>
    <v>7.81</v>
    <v>7.82</v>
    <v>8</v>
    <v>8.0299999999999994</v>
    <v>8.2899999999999991</v>
    <v>7.96</v>
    <v>7.89</v>
    <v>7.56</v>
    <v>7.47</v>
    <v>7.56</v>
    <v>7.98</v>
    <v>7.99</v>
    <v>8.11</v>
    <v>8.01</v>
    <v>7.87</v>
    <v>7.64</v>
    <v>7.9</v>
    <v>7.78</v>
    <v>7.89</v>
    <v>7.92</v>
    <v>8.2899999999999991</v>
    <v>8.24</v>
    <v>8.2899999999999991</v>
    <v>7.54</v>
    <v>7.64</v>
    <v>7.5</v>
    <v>7.99</v>
    <v>7.68</v>
    <v>7.63</v>
    <v>7.6</v>
    <v>7.76</v>
    <v>7.78</v>
    <v>7.67</v>
    <v>7.54</v>
    <v>7.71</v>
    <v>7.66</v>
    <v>7.5</v>
    <v>7.62</v>
    <v>7.25</v>
    <v>7.33</v>
    <v>7.45</v>
    <v>7.23</v>
    <v>7</v>
    <v>6.9</v>
    <v>7.36</v>
    <v>7.38</v>
    <v>7.6</v>
    <v>7.39</v>
    <v>7.84</v>
    <v>7.71</v>
    <v>7.9</v>
    <v>8.0500000000000007</v>
    <v>8.1</v>
    <v>8.2899999999999991</v>
    <v>8.32</v>
    <v>8.48</v>
    <v>8.41</v>
    <v>8.3699999999999992</v>
    <v>8.44</v>
    <v>8.31</v>
    <v>8.69</v>
    <v>8.99</v>
    <v>8.9</v>
    <v>8.67</v>
    <v>8.4</v>
    <v>8.39</v>
    <v>8.2799999999999994</v>
    <v>8.61</v>
    <v>8.84</v>
    <v>9.11</v>
    <v>9.2100000000000009</v>
    <v>9.1</v>
    <v>9.41</v>
    <v>9.7799999999999994</v>
    <v>9.59</v>
    <v>9.27</v>
    <v>9.26</v>
    <v>9.43</v>
    <v>9.19</v>
    <v>9.02</v>
    <v>8.92</v>
    <v>8.91</v>
    <v>8.9700000000000006</v>
    <v>9.1</v>
    <v>9.51</v>
    <v>9.36</v>
    <v>9.42</v>
    <v>9.18</v>
    <v>8.7200000000000006</v>
    <v>8.67</v>
    <v>8.61</v>
    <v>8.3800000000000008</v>
    <v>8.56</v>
    <v>8.56</v>
    <v>8.7100000000000009</v>
    <v>8.61</v>
    <v>8.82</v>
    <v>8.94</v>
    <v>8.77</v>
    <v>8.3800000000000008</v>
    <v>8.2899999999999991</v>
    <v>8.15</v>
    <v>8.08</v>
    <v>8.15</v>
    <v>8.33</v>
    <v>8.5</v>
    <v>8.2899999999999991</v>
    <v>8.27</v>
    <v>8.25</v>
    <v>8.23</v>
    <v>8.5500000000000007</v>
    <v>8.77</v>
    <v>8.56</v>
    <v>8.85</v>
    <v>8.9700000000000006</v>
    <v>8.76</v>
    <v>8.49</v>
    <v>8.81</v>
    <v>8.69</v>
    <v>8.86</v>
    <v>8.66</v>
    <v>8.57</v>
    <v>8.25</v>
    <v>8.27</v>
    <v>8</v>
    <v>8.1199999999999992</v>
    <v>8.3699999999999992</v>
    <v>8.66</v>
    <v>8.8699999999999992</v>
    <v>9.2100000000000009</v>
    <v>9.1999999999999993</v>
    <v>9.5399999999999991</v>
    <v>9.09</v>
    <v>9.08</v>
    <v>9.34</v>
    <v>9.42</v>
    <v>9.74</v>
    <v>9.14</v>
    <v>9.06</v>
    <v>9.08</v>
    <v>9.24</v>
    <v>8.7799999999999994</v>
    <v>8.9</v>
    <v>8.7799999999999994</v>
    <v>9.5299999999999994</v>
    <v>9.07</v>
    <v>9.18</v>
    <v>9.08</v>
    <v>9.35</v>
    <v>9.57</v>
    <v>9.6</v>
    <v>9.6999999999999993</v>
    <v>9.43</v>
    <v>9.34</v>
    <v>9.15</v>
    <v>9.36</v>
    <v>8.84</v>
    <v>8.8699999999999992</v>
    <v>8.8699999999999992</v>
    <v>9.16</v>
    <v>9.16</v>
    <v>9.51</v>
    <v>9.6</v>
    <v>9.4</v>
    <v>9.3000000000000007</v>
    <v>9.39</v>
    <v>9.5399999999999991</v>
    <v>9.52</v>
    <v>9.69</v>
    <v>9.64</v>
    <v>9.7899999999999991</v>
    <v>10</v>
    <v>10.02</v>
    <v>9.93</v>
    <v>9.75</v>
    <v>9.7799999999999994</v>
    <v>9.5299999999999994</v>
    <v>9.25</v>
    <v>9.15</v>
    <v>9.1199999999999992</v>
    <v>9.1199999999999992</v>
    <v>9.0399999999999991</v>
    <v>9.2899999999999991</v>
    <v>8.8699999999999992</v>
    <v>8.83</v>
    <v>9.0500000000000007</v>
    <v>9.17</v>
  </a>
  <a r="1" c="251">
    <v>632.91999999999996</v>
    <v>635.77</v>
    <v>626.04999999999995</v>
    <v>629.07000000000005</v>
    <v>632.08000000000004</v>
    <v>619.25</v>
    <v>623.28</v>
    <v>611.66999999999996</v>
    <v>609.74</v>
    <v>623.23</v>
    <v>621.57000000000005</v>
    <v>621.08000000000004</v>
    <v>608.4</v>
    <v>608.86</v>
    <v>603.66</v>
    <v>596.30999999999995</v>
    <v>599.87</v>
    <v>585.66999999999996</v>
    <v>590.07000000000005</v>
    <v>605.16</v>
    <v>608.89</v>
    <v>614.27</v>
    <v>619.25</v>
    <v>617.16999999999996</v>
    <v>622</v>
    <v>623.52</v>
    <v>622.94000000000005</v>
    <v>625.48</v>
    <v>624.28</v>
    <v>625.04999999999995</v>
    <v>627.61</v>
    <v>625.58000000000004</v>
    <v>613.62</v>
    <v>610.54</v>
    <v>611.75</v>
    <v>600.41</v>
    <v>609.11</v>
    <v>617.04999999999995</v>
    <v>619.21</v>
    <v>622.11</v>
    <v>623.92999999999995</v>
    <v>623.89</v>
    <v>620.87</v>
    <v>619.42999999999995</v>
    <v>614.30999999999995</v>
    <v>613.12</v>
    <v>617.99</v>
    <v>623.41999999999996</v>
    <v>624.02</v>
    <v>620.47</v>
    <v>626.65</v>
    <v>627.16999999999996</v>
    <v>626.24</v>
    <v>619.54999999999995</v>
    <v>621.78</v>
    <v>621.26</v>
    <v>608.05999999999995</v>
    <v>616.28</v>
    <v>620.76</v>
    <v>622.72</v>
    <v>625.46</v>
    <v>631.13</v>
    <v>633.22</v>
    <v>629.42999999999995</v>
    <v>621.87</v>
    <v>626.14</v>
    <v>616.52</v>
    <v>605.75</v>
    <v>597.03</v>
    <v>609.65</v>
    <v>614.32000000000005</v>
    <v>611.47</v>
    <v>613.11</v>
    <v>600.64</v>
    <v>601.91999999999996</v>
    <v>601.29999999999995</v>
    <v>605.79</v>
    <v>603.47</v>
    <v>608.80999999999995</v>
    <v>601.41</v>
    <v>607.87</v>
    <v>616.67999999999995</v>
    <v>609.24</v>
    <v>607.29</v>
    <v>608.09</v>
    <v>601.58000000000004</v>
    <v>610.75</v>
    <v>608.91</v>
    <v>599.75</v>
    <v>607.76</v>
    <v>607.77</v>
    <v>607.69000000000005</v>
    <v>597.26</v>
    <v>593.72</v>
    <v>600.38</v>
    <v>603.30999999999995</v>
    <v>594.9</v>
    <v>593.02</v>
    <v>582.05999999999995</v>
    <v>588</v>
    <v>583.98</v>
    <v>587.82000000000005</v>
    <v>573.79</v>
    <v>562.58000000000004</v>
    <v>558.28</v>
    <v>577.17999999999995</v>
    <v>584.30999999999995</v>
    <v>584.98</v>
    <v>588.5</v>
    <v>588.59</v>
    <v>606.09</v>
    <v>610.19000000000005</v>
    <v>611.07000000000005</v>
    <v>617.39</v>
    <v>628.6</v>
    <v>637.4</v>
    <v>640.47</v>
    <v>648.85</v>
    <v>646.79</v>
    <v>644.33000000000004</v>
    <v>655.11</v>
    <v>651.41999999999996</v>
    <v>663.88</v>
    <v>664.23</v>
    <v>657.55</v>
    <v>661.57</v>
    <v>667.74</v>
    <v>674.15</v>
    <v>672.88</v>
    <v>681.61</v>
    <v>695.77</v>
    <v>694.94</v>
    <v>711.23</v>
    <v>713.29</v>
    <v>707.24</v>
    <v>714.71</v>
    <v>719.79</v>
    <v>708.93</v>
    <v>705.88</v>
    <v>701.53</v>
    <v>713.15</v>
    <v>714.51</v>
    <v>717.54</v>
    <v>730.28</v>
    <v>729.45</v>
    <v>735.6</v>
    <v>738.31</v>
    <v>742.74</v>
    <v>746.16</v>
    <v>744.21</v>
    <v>740.61</v>
    <v>705.06</v>
    <v>716.07</v>
    <v>707.83</v>
    <v>693.69</v>
    <v>717.12</v>
    <v>721.34</v>
    <v>744</v>
    <v>729.86</v>
    <v>722.51</v>
    <v>740.62</v>
    <v>737.95</v>
    <v>713.65</v>
    <v>710.62</v>
    <v>716.38</v>
    <v>706.52</v>
    <v>724.08</v>
    <v>736.4</v>
    <v>725.17</v>
    <v>712.6</v>
    <v>722.82</v>
    <v>709.43</v>
    <v>711.44</v>
    <v>723.28</v>
    <v>725.51</v>
    <v>711.74</v>
    <v>719.69</v>
    <v>717.74</v>
    <v>705.94</v>
    <v>695.33</v>
    <v>696.06</v>
    <v>708.97</v>
    <v>705.35</v>
    <v>691.96</v>
    <v>684.23</v>
    <v>682.12</v>
    <v>675.49</v>
    <v>661.73</v>
    <v>683.55</v>
    <v>687.99</v>
    <v>700.07</v>
    <v>723.85</v>
    <v>717.3</v>
    <v>714.65</v>
    <v>723.03</v>
    <v>720.87</v>
    <v>718.45</v>
    <v>723.7</v>
    <v>732.07</v>
    <v>731.07</v>
    <v>729.87</v>
    <v>717.51</v>
    <v>716.08</v>
    <v>710.93</v>
    <v>713.44</v>
    <v>706.32</v>
    <v>710.72</v>
    <v>711.37</v>
    <v>721.11</v>
    <v>716.43</v>
    <v>716.76</v>
    <v>707.64</v>
    <v>709.24</v>
    <v>717.67</v>
    <v>718.96</v>
    <v>718.36</v>
    <v>716.31</v>
    <v>708.69</v>
    <v>714.88</v>
    <v>709.18</v>
    <v>704.54</v>
    <v>704.72</v>
    <v>716.92</v>
    <v>721.45</v>
    <v>741.47</v>
    <v>747.46</v>
    <v>741.21</v>
    <v>741.1</v>
    <v>744.5</v>
    <v>736.53</v>
    <v>737.93</v>
    <v>739.77</v>
    <v>742.03</v>
    <v>749.58</v>
    <v>756.2</v>
    <v>759.66</v>
    <v>757.73</v>
    <v>747.58</v>
    <v>751.27</v>
    <v>746.04</v>
    <v>743.57</v>
    <v>728.95</v>
    <v>728</v>
    <v>709.8</v>
    <v>718.36</v>
    <v>717.63</v>
    <v>725.2</v>
    <v>704.47</v>
    <v>704.4</v>
    <v>712.2</v>
    <v>721.25</v>
  </a>
  <a r="1" c="251">
    <v>268.43</v>
    <v>275.17</v>
    <v>281.89999999999998</v>
    <v>281.82</v>
    <v>284.12</v>
    <v>278.06</v>
    <v>284.75</v>
    <v>285.33999999999997</v>
    <v>279.7</v>
    <v>290.58999999999997</v>
    <v>291.74</v>
    <v>287.43</v>
    <v>279.12</v>
    <v>276.98</v>
    <v>285.60000000000002</v>
    <v>284.95999999999998</v>
    <v>292.99</v>
    <v>289.98</v>
    <v>299.64999999999998</v>
    <v>318.47000000000003</v>
    <v>323.64</v>
    <v>320.27999999999997</v>
    <v>320.12</v>
    <v>315.12</v>
    <v>316.02</v>
    <v>320.62</v>
    <v>318.39</v>
    <v>322.08999999999997</v>
    <v>314.45</v>
    <v>317.75</v>
    <v>321</v>
    <v>313.7</v>
    <v>310.52</v>
    <v>309.32</v>
    <v>307.73</v>
    <v>298.06</v>
    <v>303.75</v>
    <v>308.61</v>
    <v>311.33</v>
    <v>315.68</v>
    <v>315.67</v>
    <v>314.95999999999998</v>
    <v>314.39</v>
    <v>314.55</v>
    <v>313.8</v>
    <v>315.32</v>
    <v>317.32</v>
    <v>314.55</v>
    <v>322.43</v>
    <v>326.01</v>
    <v>329.14</v>
    <v>332.73</v>
    <v>336.43</v>
    <v>336.31</v>
    <v>333.16</v>
    <v>330.34</v>
    <v>322.16000000000003</v>
    <v>328.38</v>
    <v>330.84</v>
    <v>328.43</v>
    <v>333.59</v>
    <v>335</v>
    <v>336.28</v>
    <v>338.66</v>
    <v>338.53</v>
    <v>344.9</v>
    <v>340.7</v>
    <v>333.34</v>
    <v>331.33</v>
    <v>323.10000000000002</v>
    <v>324.39999999999998</v>
    <v>318.63</v>
    <v>311.33</v>
    <v>309.37</v>
    <v>306.02</v>
    <v>302.82</v>
    <v>303.94</v>
    <v>303.56</v>
    <v>314.89999999999998</v>
    <v>311.69</v>
    <v>310.92</v>
    <v>313.02999999999997</v>
    <v>307.14999999999998</v>
    <v>311.43</v>
    <v>306.36</v>
    <v>303.56</v>
    <v>303.45</v>
    <v>300.91000000000003</v>
    <v>298.3</v>
    <v>306.01</v>
    <v>306.93</v>
    <v>308.42</v>
    <v>303.20999999999998</v>
    <v>301.45999999999998</v>
    <v>304.42</v>
    <v>309.41000000000003</v>
    <v>306.3</v>
    <v>305.73</v>
    <v>298.79000000000002</v>
    <v>299.02</v>
    <v>289.2</v>
    <v>289.58999999999997</v>
    <v>280.74</v>
    <v>273.76</v>
    <v>273.14</v>
    <v>286.86</v>
    <v>294.89999999999998</v>
    <v>294.45999999999998</v>
    <v>297.66000000000003</v>
    <v>303.93</v>
    <v>314.74</v>
    <v>316.37</v>
    <v>315.72000000000003</v>
    <v>319.20999999999998</v>
    <v>330.58</v>
    <v>334.47</v>
    <v>332.77</v>
    <v>339.4</v>
    <v>335.4</v>
    <v>330.47</v>
    <v>337.73</v>
    <v>337.75</v>
    <v>342.32</v>
    <v>348.52</v>
    <v>347.5</v>
    <v>347.31</v>
    <v>381.94</v>
    <v>383.22</v>
    <v>379.64</v>
    <v>384.27</v>
    <v>395.14</v>
    <v>395.3</v>
    <v>397.05</v>
    <v>386.77</v>
    <v>383.82</v>
    <v>399.04</v>
    <v>397.17</v>
    <v>393.32</v>
    <v>393.11</v>
    <v>384.9</v>
    <v>384.9</v>
    <v>383.47</v>
    <v>379.38</v>
    <v>384.84</v>
    <v>384.83</v>
    <v>386.12</v>
    <v>376.43</v>
    <v>372.58</v>
    <v>358.39</v>
    <v>355.68</v>
    <v>369.27</v>
    <v>365.76</v>
    <v>361.17</v>
    <v>362.29</v>
    <v>353.32</v>
    <v>356.56</v>
    <v>358.16</v>
    <v>367.11</v>
    <v>371.1</v>
    <v>362.1</v>
    <v>367.46</v>
    <v>348.78</v>
    <v>346.08</v>
    <v>345.04</v>
    <v>342.19</v>
    <v>334.69</v>
    <v>351.28</v>
    <v>353.33</v>
    <v>357.89</v>
    <v>356.18</v>
    <v>364.9</v>
    <v>363.62</v>
    <v>358.71</v>
    <v>356.24</v>
    <v>355.03</v>
    <v>350.67</v>
    <v>357.33</v>
    <v>370.21</v>
    <v>353.81</v>
    <v>346.12</v>
    <v>351.37</v>
    <v>346.19</v>
    <v>341.91</v>
    <v>318.33999999999997</v>
    <v>319.08999999999997</v>
    <v>326.57</v>
    <v>332.6</v>
    <v>335.76</v>
    <v>333.68</v>
    <v>356.65</v>
    <v>372.47</v>
    <v>375.35</v>
    <v>360.13</v>
    <v>356.62</v>
    <v>353.47</v>
    <v>355.84</v>
    <v>343</v>
    <v>342.37</v>
    <v>343.94</v>
    <v>343.54</v>
    <v>341.45</v>
    <v>341.28</v>
    <v>341.7</v>
    <v>338.2</v>
    <v>341.75</v>
    <v>344.59</v>
    <v>343.34</v>
    <v>339.1</v>
    <v>337.71</v>
    <v>342.88</v>
    <v>335.41</v>
    <v>332.03</v>
    <v>333.78</v>
    <v>339.08</v>
    <v>335.31</v>
    <v>335.38</v>
    <v>328.38</v>
    <v>330.39</v>
    <v>335.45</v>
    <v>345.71</v>
    <v>341.43</v>
    <v>339.36</v>
    <v>343.68</v>
    <v>344.41</v>
    <v>350.87</v>
    <v>347.41</v>
    <v>334.98</v>
    <v>339.01</v>
    <v>341.08</v>
    <v>339.16</v>
    <v>337.32</v>
    <v>340.74</v>
    <v>334.93</v>
    <v>340.35</v>
    <v>343.83</v>
    <v>344.59</v>
    <v>347.37</v>
    <v>344.86</v>
    <v>347.86</v>
    <v>348.97</v>
    <v>349.52</v>
    <v>343.65</v>
    <v>344.91</v>
    <v>336.91</v>
    <v>340.16</v>
    <v>336.4</v>
    <v>330.95</v>
    <v>320.76</v>
    <v>317.27999999999997</v>
    <v>314.19</v>
    <v>316.83</v>
  </a>
  <a r="1" c="251">
    <v>687.06</v>
    <v>687.39</v>
    <v>679.83</v>
    <v>682.06</v>
    <v>683.34</v>
    <v>675.24</v>
    <v>677.58</v>
    <v>670.31</v>
    <v>670.97</v>
    <v>681.44</v>
    <v>683</v>
    <v>683.38</v>
    <v>672.04</v>
    <v>671.93</v>
    <v>665.67</v>
    <v>660.08</v>
    <v>662.63</v>
    <v>652.53</v>
    <v>659.03</v>
    <v>668.73</v>
    <v>675.02</v>
    <v>679.68</v>
    <v>683.39</v>
    <v>680.27</v>
    <v>681.53</v>
    <v>683.89</v>
    <v>684.39</v>
    <v>685.69</v>
    <v>683.63</v>
    <v>683.04</v>
    <v>687.57</v>
    <v>689.17</v>
    <v>681.76</v>
    <v>680.73</v>
    <v>678.87</v>
    <v>671.4</v>
    <v>676.47</v>
    <v>680.59</v>
    <v>684.83</v>
    <v>687.96</v>
    <v>690.38</v>
    <v>690.31</v>
    <v>687.85</v>
    <v>687.01</v>
    <v>681.92</v>
    <v>683.17</v>
    <v>687.72</v>
    <v>691.81</v>
    <v>689.58</v>
    <v>689.51</v>
    <v>694.07</v>
    <v>695.16</v>
    <v>693.77</v>
    <v>690.36</v>
    <v>692.24</v>
    <v>691.66</v>
    <v>677.58</v>
    <v>685.4</v>
    <v>688.98</v>
    <v>689.23</v>
    <v>692.73</v>
    <v>695.49</v>
    <v>695.42</v>
    <v>694.04</v>
    <v>691.97</v>
    <v>695.41</v>
    <v>689.53</v>
    <v>686.19</v>
    <v>677.62</v>
    <v>690.62</v>
    <v>693.95</v>
    <v>692.12</v>
    <v>691.96</v>
    <v>681.27</v>
    <v>681.75</v>
    <v>682.85</v>
    <v>686.29</v>
    <v>684.48</v>
    <v>689.43</v>
    <v>682.39</v>
    <v>687.35</v>
    <v>693.15</v>
    <v>689.3</v>
    <v>685.99</v>
    <v>686.38</v>
    <v>680.33</v>
    <v>685.13</v>
    <v>681.31</v>
    <v>672.38</v>
    <v>678.27</v>
    <v>677.18</v>
    <v>676.33</v>
    <v>666.06</v>
    <v>662.29</v>
    <v>669.03</v>
    <v>670.79</v>
    <v>661.43</v>
    <v>659.8</v>
    <v>648.57000000000005</v>
    <v>655.38</v>
    <v>653.17999999999995</v>
    <v>656.82</v>
    <v>645.09</v>
    <v>634.09</v>
    <v>631.97</v>
    <v>650.34</v>
    <v>655.24</v>
    <v>655.83</v>
    <v>658.93</v>
    <v>659.22</v>
    <v>676.01</v>
    <v>679.91</v>
    <v>679.46</v>
    <v>686.1</v>
    <v>694.46</v>
    <v>699.94</v>
    <v>701.66</v>
    <v>710.14</v>
    <v>708.72</v>
    <v>704.08</v>
    <v>711.21</v>
    <v>708.45</v>
    <v>713.94</v>
    <v>715.17</v>
    <v>711.69</v>
    <v>711.58</v>
    <v>718.66</v>
    <v>720.65</v>
    <v>718.01</v>
    <v>723.77</v>
    <v>733.83</v>
    <v>731.58</v>
    <v>737.62</v>
    <v>739.3</v>
    <v>738.18</v>
    <v>742.31</v>
    <v>748.17</v>
    <v>739.17</v>
    <v>738.65</v>
    <v>733.73</v>
    <v>741.25</v>
    <v>742.72</v>
    <v>745.64</v>
    <v>750.59</v>
    <v>750.46</v>
    <v>754.6</v>
    <v>756.48</v>
    <v>758.54</v>
    <v>759.57</v>
    <v>754.24</v>
    <v>757.09</v>
    <v>737.55</v>
    <v>739.22</v>
    <v>737.05</v>
    <v>725.43</v>
    <v>737.76</v>
    <v>741.75</v>
    <v>754.83</v>
    <v>750.33</v>
    <v>740.96</v>
    <v>746.74</v>
    <v>744.39</v>
    <v>733.58</v>
    <v>733.24</v>
    <v>734.3</v>
    <v>728.99</v>
    <v>741</v>
    <v>746.77</v>
    <v>745.76</v>
    <v>744.78</v>
    <v>751.28</v>
    <v>747.71</v>
    <v>745.4</v>
    <v>751.71</v>
    <v>754.95</v>
    <v>749.17</v>
    <v>751.83</v>
    <v>754.81</v>
    <v>750.72</v>
    <v>743.29</v>
    <v>742.09</v>
    <v>748.28</v>
    <v>747.41</v>
    <v>738.18</v>
    <v>738.93</v>
    <v>739.09</v>
    <v>740.86</v>
    <v>729.46</v>
    <v>741.69</v>
    <v>747.03</v>
    <v>757.67</v>
    <v>771.33</v>
    <v>769.79</v>
    <v>768.56</v>
    <v>773.26</v>
    <v>773.03</v>
    <v>770.56</v>
    <v>772.49</v>
    <v>777.88</v>
    <v>776.34</v>
    <v>772.67</v>
    <v>767.45</v>
    <v>769.06</v>
    <v>762.6</v>
    <v>765.72</v>
    <v>763.47</v>
    <v>765.91</v>
    <v>766.08</v>
    <v>771.1</v>
    <v>769.35</v>
    <v>767.05</v>
    <v>761.78</v>
    <v>765.16</v>
    <v>773.17</v>
    <v>770.19</v>
    <v>765.96</v>
    <v>762.4</v>
    <v>757.83</v>
    <v>764.29</v>
    <v>760.88</v>
    <v>757.39</v>
    <v>754.05</v>
    <v>762.6</v>
    <v>761.69</v>
    <v>773.5</v>
    <v>773.38</v>
    <v>767.81</v>
    <v>767.18</v>
    <v>771.35</v>
    <v>765.61</v>
    <v>764.2</v>
    <v>762.63</v>
    <v>763.99</v>
    <v>769.64</v>
    <v>774.83</v>
    <v>779.09</v>
    <v>777.22</v>
    <v>773.93</v>
    <v>778.57</v>
    <v>778.1</v>
    <v>778.01</v>
    <v>769.6</v>
    <v>771.79</v>
    <v>763.25</v>
    <v>766.48</v>
    <v>769.05</v>
    <v>773.09</v>
    <v>763.96</v>
    <v>759.97</v>
    <v>765.37</v>
    <v>769.66</v>
  </a>
  <a r="1" c="251">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v>258.86</v>
    <v>253.5</v>
    <v>258.89999999999998</v>
    <v>260.49</v>
    <v>260.48</v>
    <v>259.2</v>
    <v>258.83</v>
    <v>266.43</v>
    <v>263.39999999999998</v>
    <v>270.23</v>
    <v>273.05</v>
    <v>266.17</v>
    <v>273.17</v>
    <v>273.43</v>
    <v>271.06</v>
    <v>267.61</v>
    <v>270.70999999999998</v>
    <v>270.17</v>
    <v>271.35000000000002</v>
    <v>280.14</v>
    <v>276.83</v>
    <v>284.18</v>
    <v>287.51</v>
    <v>287.44</v>
    <v>293.32</v>
    <v>292.68</v>
    <v>294.8</v>
    <v>298.87</v>
    <v>298.20999999999998</v>
    <v>300.23</v>
    <v>297.83999999999997</v>
    <v>298.97000000000003</v>
    <v>302.25</v>
    <v>304.99</v>
    <v>308.82</v>
    <v>308.33</v>
    <v>310.85000000000002</v>
    <v>312.51</v>
    <v>312.06</v>
    <v>306.31</v>
    <v>315.2</v>
    <v>310.26</v>
    <v>311.23</v>
    <v>307.33999999999997</v>
    <v>301.54000000000002</v>
    <v>290.55</v>
    <v>291.58</v>
    <v>295.63</v>
    <v>291.13</v>
    <v>296.42</v>
    <v>299.24</v>
    <v>295.95</v>
    <v>298.01</v>
    <v>297.01</v>
    <v>294.3</v>
    <v>293.08</v>
    <v>275.14999999999998</v>
    <v>283.77999999999997</v>
    <v>281.74</v>
    <v>289.36</v>
    <v>294.38</v>
    <v>308.63</v>
    <v>312.66000000000003</v>
    <v>310.66000000000003</v>
    <v>313.39</v>
    <v>316.22000000000003</v>
    <v>315.32</v>
    <v>317.31</v>
    <v>314.86</v>
    <v>327.5</v>
    <v>333.26</v>
    <v>333.74</v>
    <v>326.58999999999997</v>
    <v>327.74</v>
    <v>325.89</v>
    <v>321.66000000000003</v>
    <v>333.02</v>
    <v>336.91</v>
    <v>340.08</v>
    <v>338.19</v>
    <v>333.43</v>
    <v>308.91000000000003</v>
    <v>303.42</v>
    <v>309.38</v>
    <v>311</v>
    <v>312.41000000000003</v>
    <v>313.33</v>
    <v>308.26</v>
    <v>304.91000000000003</v>
    <v>302.25</v>
    <v>305.26</v>
    <v>305.93</v>
    <v>305.58999999999997</v>
    <v>310.02999999999997</v>
    <v>316.83</v>
    <v>311.3</v>
    <v>309.35000000000002</v>
    <v>310.33999999999997</v>
    <v>309.89999999999998</v>
    <v>313.45</v>
    <v>314.58</v>
    <v>319.7</v>
    <v>316.85000000000002</v>
    <v>325.13</v>
    <v>324.95999999999998</v>
    <v>328.21</v>
    <v>319.97000000000003</v>
    <v>316.22000000000003</v>
    <v>315.33999999999997</v>
    <v>326.57</v>
    <v>332.27</v>
    <v>333.08</v>
    <v>331.34</v>
    <v>332.41</v>
    <v>337</v>
    <v>336.13</v>
    <v>338.98</v>
    <v>339.75</v>
    <v>337.02</v>
    <v>335.92</v>
    <v>341.07</v>
    <v>338.4</v>
    <v>329.4</v>
    <v>333.02</v>
    <v>330.32</v>
    <v>333.69</v>
    <v>332.89</v>
    <v>333.63</v>
    <v>336.67</v>
    <v>340.42</v>
    <v>336.64</v>
    <v>340.97</v>
    <v>341.27</v>
    <v>342.96</v>
    <v>342</v>
    <v>343.46</v>
    <v>342.94</v>
    <v>339.5</v>
    <v>343.99</v>
    <v>348.22</v>
    <v>347.72500000000002</v>
    <v>343.91</v>
    <v>347.1</v>
  </a>
  <a r="1" c="251">
    <v>372.97</v>
    <v>385.98</v>
    <v>376.47</v>
    <v>369.63</v>
    <v>362.55</v>
    <v>351.94</v>
    <v>358.98</v>
    <v>355.59</v>
    <v>349.43</v>
    <v>358.39</v>
    <v>351.96</v>
    <v>355.22</v>
    <v>339.98</v>
    <v>342.46</v>
    <v>342.65</v>
    <v>340.5</v>
    <v>354.42</v>
    <v>346.82</v>
    <v>340.2</v>
    <v>377.96</v>
    <v>385.03</v>
    <v>397.57</v>
    <v>402.96</v>
    <v>386.08</v>
    <v>381.57</v>
    <v>380.61</v>
    <v>381.03</v>
    <v>390.24</v>
    <v>401.1</v>
    <v>406.29</v>
    <v>412.97</v>
    <v>406.37</v>
    <v>359.93</v>
    <v>339.81</v>
    <v>341.3</v>
    <v>326.02</v>
    <v>329.88</v>
    <v>340.36</v>
    <v>341.45</v>
    <v>349.32</v>
    <v>350.22</v>
    <v>352.13</v>
    <v>349.39</v>
    <v>349.85</v>
    <v>346.1</v>
    <v>347.62</v>
    <v>343.42</v>
    <v>343.77</v>
    <v>343.5</v>
    <v>332.48</v>
    <v>344.97</v>
    <v>352.21</v>
    <v>354.61</v>
    <v>339.89</v>
    <v>343.02</v>
    <v>351.71</v>
    <v>332.6</v>
    <v>328.8</v>
    <v>325.49</v>
    <v>320.05</v>
    <v>324.85000000000002</v>
    <v>332.79</v>
    <v>333.24</v>
    <v>330.73</v>
    <v>331.3</v>
    <v>331.11</v>
    <v>320.33</v>
    <v>308.05</v>
    <v>310.51</v>
    <v>332.92</v>
    <v>343.94</v>
    <v>340.44</v>
    <v>342.76</v>
    <v>331.17</v>
    <v>325.17</v>
    <v>332.54</v>
    <v>333.51</v>
    <v>333.99</v>
    <v>332.65</v>
    <v>330.34</v>
    <v>325.49</v>
    <v>332.31</v>
    <v>321.7</v>
    <v>319.55</v>
    <v>318.82</v>
    <v>313.83999999999997</v>
    <v>317.52999999999997</v>
    <v>332.77</v>
    <v>330.48</v>
    <v>345.75</v>
    <v>342.58</v>
    <v>341.57</v>
    <v>335.97</v>
    <v>322.16000000000003</v>
    <v>324.92</v>
    <v>321.31</v>
    <v>315.93</v>
    <v>319.83999999999997</v>
    <v>310.51</v>
    <v>322.51</v>
    <v>318.29000000000002</v>
    <v>318.81</v>
    <v>309.41500000000002</v>
    <v>300.68</v>
    <v>293.41000000000003</v>
    <v>309.51</v>
    <v>313.49</v>
    <v>314.55</v>
    <v>314.43</v>
    <v>333.97</v>
    <v>350.63</v>
    <v>354.91</v>
    <v>371.55</v>
    <v>379.75</v>
    <v>380.78</v>
    <v>396.72</v>
    <v>398.47</v>
    <v>406.54</v>
    <v>399.63</v>
    <v>402.17</v>
    <v>422.65</v>
    <v>419.94</v>
    <v>422.76</v>
    <v>418.2</v>
    <v>399.83</v>
    <v>405.45</v>
    <v>417.43</v>
    <v>421.28</v>
    <v>416.5</v>
    <v>427.36</v>
    <v>425.44</v>
    <v>412.56</v>
    <v>430</v>
    <v>428.43</v>
    <v>419.3</v>
    <v>416.79</v>
    <v>439.79</v>
    <v>425.19</v>
    <v>420.71</v>
    <v>411.07</v>
    <v>417.76</v>
    <v>414.57</v>
    <v>414.14</v>
    <v>422.01</v>
    <v>421.86</v>
    <v>426.58</v>
    <v>446.77</v>
    <v>459.97</v>
    <v>481.57</v>
    <v>479.23</v>
    <v>418.91</v>
    <v>385.73</v>
    <v>396.6</v>
    <v>392.16</v>
    <v>372.1</v>
    <v>385.57</v>
    <v>382.07</v>
    <v>393.94</v>
    <v>376.71</v>
    <v>392.9</v>
    <v>411.35</v>
    <v>392.13</v>
    <v>380.15</v>
    <v>382.07</v>
    <v>378.91</v>
    <v>365.02</v>
    <v>372.45</v>
    <v>377.75</v>
    <v>369.34</v>
    <v>360.45</v>
    <v>373.9</v>
    <v>370.78</v>
    <v>388.69</v>
    <v>401.11</v>
    <v>399.97</v>
    <v>384.05</v>
    <v>389.11</v>
    <v>394.28</v>
    <v>374.45</v>
    <v>370.82499999999999</v>
    <v>378.16</v>
    <v>386.5</v>
    <v>396.81</v>
    <v>392.47</v>
    <v>381.92</v>
    <v>383.22</v>
    <v>380.91</v>
    <v>370.32</v>
    <v>387.84</v>
    <v>389.28</v>
    <v>392.23</v>
    <v>418.16</v>
    <v>418.28</v>
    <v>420.565</v>
    <v>427.76</v>
    <v>422.4</v>
    <v>416.08</v>
    <v>416.05</v>
    <v>417.82</v>
    <v>392.99</v>
    <v>392.43</v>
    <v>380</v>
    <v>362.48</v>
    <v>364.03</v>
    <v>368.45</v>
    <v>358.76</v>
    <v>356.74</v>
    <v>355.59</v>
    <v>371.54</v>
    <v>368.79</v>
    <v>370.34</v>
    <v>369.68</v>
    <v>367.24</v>
    <v>357.16</v>
    <v>357.89499999999998</v>
    <v>368.56</v>
    <v>364.38</v>
    <v>360.83</v>
    <v>361.99</v>
    <v>344.72</v>
    <v>339.27</v>
    <v>339.51</v>
    <v>347.3</v>
    <v>357.61</v>
    <v>362.66</v>
    <v>364.54</v>
    <v>354.99</v>
    <v>350.36</v>
    <v>352.81</v>
    <v>349.57</v>
    <v>355.1</v>
    <v>351.19</v>
    <v>343.64</v>
    <v>355.14</v>
    <v>362.51</v>
    <v>375.81</v>
    <v>376.51</v>
    <v>360.14</v>
    <v>361.54</v>
    <v>354.73</v>
    <v>357.31</v>
    <v>346.25</v>
    <v>344.33</v>
    <v>328.75</v>
    <v>334.59</v>
    <v>334.37</v>
    <v>337.8</v>
    <v>323.24</v>
    <v>321.68</v>
    <v>329.17</v>
    <v>342.33</v>
  </a>
  <a r="1" c="251">
    <v>70.16</v>
    <v>68.349999999999994</v>
    <v>68.98</v>
    <v>68.900000000000006</v>
    <v>67.97</v>
    <v>68.66</v>
    <v>68.510000000000005</v>
    <v>69.06</v>
    <v>70.55</v>
    <v>70.52</v>
    <v>71.61</v>
    <v>71.510000000000005</v>
    <v>71.069999999999993</v>
    <v>71.16</v>
    <v>70.680000000000007</v>
    <v>71.22</v>
    <v>71.11</v>
    <v>71.209999999999994</v>
    <v>72.95</v>
    <v>72.59</v>
    <v>72.61</v>
    <v>72.88</v>
    <v>73.12</v>
    <v>71.95</v>
    <v>70.67</v>
    <v>70.81</v>
    <v>70.45</v>
    <v>70</v>
    <v>70.25</v>
    <v>70.09</v>
    <v>70.209999999999994</v>
    <v>69.11</v>
    <v>70.52</v>
    <v>70.97</v>
    <v>70.37</v>
    <v>70.67</v>
    <v>70.36</v>
    <v>70.06</v>
    <v>70.209999999999994</v>
    <v>69.87</v>
    <v>70.11</v>
    <v>69.87</v>
    <v>70.16</v>
    <v>70.069999999999993</v>
    <v>69.91</v>
    <v>69.12</v>
    <v>67.94</v>
    <v>67.84</v>
    <v>67.540000000000006</v>
    <v>69.37</v>
    <v>70.510000000000005</v>
    <v>70.5</v>
    <v>71.239999999999995</v>
    <v>71.44</v>
    <v>70.48</v>
    <v>70.44</v>
    <v>71.75</v>
    <v>72.010000000000005</v>
    <v>71.87</v>
    <v>72.88</v>
    <v>72.56</v>
    <v>73.55</v>
    <v>73.06</v>
    <v>73.430000000000007</v>
    <v>74.81</v>
    <v>75.33</v>
    <v>76.89</v>
    <v>77.349999999999994</v>
    <v>78.510000000000005</v>
    <v>79.03</v>
    <v>77.97</v>
    <v>76.81</v>
    <v>78.599999999999994</v>
    <v>79</v>
    <v>78.680000000000007</v>
    <v>79.56</v>
    <v>79.489999999999995</v>
    <v>78.91</v>
    <v>79.84</v>
    <v>80.56</v>
    <v>80.72</v>
    <v>80.47</v>
    <v>80.5</v>
    <v>81.56</v>
    <v>80.22</v>
    <v>79.34</v>
    <v>78.099999999999994</v>
    <v>77.03</v>
    <v>77.040000000000006</v>
    <v>77.8</v>
    <v>77.88</v>
    <v>77.63</v>
    <v>77.61</v>
    <v>77.34</v>
    <v>77.819999999999993</v>
    <v>77.58</v>
    <v>75.97</v>
    <v>75.55</v>
    <v>74.75</v>
    <v>75.11</v>
    <v>74.67</v>
    <v>75.25</v>
    <v>74.69</v>
    <v>75.709999999999994</v>
    <v>76.27</v>
    <v>76.05</v>
    <v>76.08</v>
    <v>76.72</v>
    <v>77.22</v>
    <v>75.91</v>
    <v>77.290000000000006</v>
    <v>78.180000000000007</v>
    <v>77.47</v>
    <v>76.41</v>
    <v>75.900000000000006</v>
    <v>75.31</v>
    <v>75.180000000000007</v>
    <v>75.739999999999995</v>
    <v>75.48</v>
    <v>74.7</v>
    <v>74.63</v>
    <v>76.28</v>
    <v>76.63</v>
    <v>75.44</v>
    <v>78.349999999999994</v>
    <v>78.87</v>
    <v>78.760000000000005</v>
    <v>78.58</v>
    <v>78.19</v>
    <v>78.48</v>
    <v>79.23</v>
    <v>78.430000000000007</v>
    <v>78.42</v>
    <v>78.66</v>
    <v>80.03</v>
    <v>80.260000000000005</v>
    <v>80.45</v>
    <v>80.819999999999993</v>
    <v>81.2</v>
    <v>81.92</v>
    <v>81.55</v>
    <v>81.17</v>
    <v>81.48</v>
    <v>80.459999999999994</v>
    <v>81.62</v>
    <v>80.41</v>
    <v>79.010000000000005</v>
    <v>78.64</v>
    <v>78.41</v>
    <v>78.760000000000005</v>
    <v>76.819999999999993</v>
    <v>79.48</v>
    <v>79.540000000000006</v>
    <v>81.34</v>
    <v>83.59</v>
    <v>82.53</v>
    <v>82.62</v>
    <v>80.91</v>
    <v>80.28</v>
    <v>79.930000000000007</v>
    <v>79.39</v>
    <v>79.53</v>
    <v>80.31</v>
    <v>80.599999999999994</v>
    <v>80.42</v>
    <v>82.63</v>
    <v>82.65</v>
    <v>81.27</v>
    <v>81.290000000000006</v>
    <v>84.14</v>
    <v>82.96</v>
    <v>84.05</v>
    <v>83.4</v>
    <v>82.63</v>
    <v>83.49</v>
    <v>84.25</v>
    <v>83.08</v>
    <v>82.45</v>
    <v>84.92</v>
    <v>81.56</v>
    <v>82.12</v>
    <v>81.97</v>
    <v>82.2</v>
    <v>81.17</v>
    <v>82.25</v>
    <v>84.07</v>
    <v>88.27</v>
    <v>89.08</v>
    <v>88.49</v>
    <v>87.59</v>
    <v>86.86</v>
    <v>86.56</v>
    <v>86.83</v>
    <v>86.85</v>
    <v>87.05</v>
    <v>86.87</v>
    <v>86.48</v>
    <v>86.71</v>
    <v>87.42</v>
    <v>87.71</v>
    <v>86.98</v>
    <v>88.82</v>
    <v>90.35</v>
    <v>90.5</v>
    <v>91.1</v>
    <v>91.99</v>
    <v>91.64</v>
    <v>90.08</v>
    <v>89.06</v>
    <v>89.66</v>
    <v>88.67</v>
    <v>88</v>
    <v>88.24</v>
    <v>88.81</v>
    <v>88.07</v>
    <v>88.36</v>
    <v>87.55</v>
    <v>87.83</v>
    <v>88.29</v>
    <v>89.35</v>
    <v>88.71</v>
    <v>87.87</v>
    <v>88.06</v>
    <v>88.25</v>
    <v>87.12</v>
    <v>88.61</v>
    <v>88.09</v>
    <v>88.1</v>
    <v>87.81</v>
    <v>87.18</v>
    <v>86.84</v>
    <v>86.08</v>
    <v>86.1</v>
    <v>85.65</v>
    <v>86.51</v>
    <v>86.17</v>
    <v>85.82</v>
    <v>87.77</v>
    <v>88.05</v>
    <v>89.79</v>
    <v>90.11</v>
    <v>91.78</v>
    <v>92</v>
    <v>93.9</v>
    <v>93.42</v>
    <v>93.49</v>
    <v>92.68</v>
    <v>95.34</v>
    <v>92.71</v>
    <v>92.7</v>
    <v>91.18</v>
  </a>
  <a r="1" c="251">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v>372.88</v>
    <v>372.29</v>
    <v>374.33</v>
    <v>373.07</v>
    <v>370.87</v>
    <v>384.37</v>
    <v>393.11</v>
    <v>411.22</v>
    <v>420.26</v>
    <v>422.79</v>
    <v>418.07</v>
    <v>424.16</v>
    <v>432.92</v>
    <v>415.75</v>
    <v>424.62</v>
    <v>424.82</v>
    <v>429.25</v>
    <v>424.46</v>
    <v>407.78</v>
    <v>414.44</v>
    <v>413.62</v>
    <v>411.38</v>
    <v>413.96</v>
    <v>420.77</v>
    <v>415.12</v>
    <v>412.66</v>
    <v>407.77</v>
    <v>405.21</v>
    <v>409.43</v>
    <v>421.92</v>
    <v>423.54</v>
    <v>417.42</v>
    <v>421.06</v>
    <v>419.09</v>
    <v>418.57</v>
    <v>416.03</v>
    <v>412.67</v>
    <v>426.99</v>
    <v>450.24</v>
    <v>460.52</v>
    <v>441.31</v>
    <v>427.34</v>
    <v>428.05</v>
    <v>416.67</v>
    <v>411.74</v>
    <v>403.41</v>
    <v>397.36</v>
    <v>390.34</v>
    <v>390.74</v>
    <v>399.76</v>
    <v>393.83</v>
    <v>378.91</v>
    <v>379.4</v>
    <v>367.34</v>
    <v>373.94</v>
    <v>365.46</v>
    <v>352.83</v>
    <v>372.97</v>
    <v>368.57</v>
    <v>373.02</v>
    <v>384.28</v>
    <v>390.49</v>
    <v>386.74</v>
    <v>388.84</v>
    <v>383.34</v>
    <v>384.36</v>
    <v>385.1</v>
    <v>390.99</v>
    <v>384.93</v>
    <v>395.63</v>
    <v>401.1</v>
    <v>393.82</v>
    <v>402.29</v>
    <v>397.75</v>
    <v>390.34</v>
    <v>381.58</v>
    <v>381.7</v>
    <v>389.1</v>
    <v>393.35</v>
    <v>390.54</v>
    <v>451.1</v>
    <v>464.72</v>
    <v>487.65</v>
    <v>492.81</v>
    <v>487.46</v>
    <v>499.86</v>
    <v>499.99</v>
    <v>506.06</v>
    <v>503.81</v>
    <v>492.43</v>
    <v>496.88</v>
    <v>495.4</v>
    <v>480.35</v>
    <v>481.63</v>
    <v>484.31</v>
    <v>481.15</v>
    <v>483.24</v>
    <v>487.31</v>
    <v>491.71</v>
    <v>496.37</v>
    <v>505.06</v>
    <v>513.53</v>
    <v>507.29</v>
    <v>501.02</v>
    <v>496.82</v>
    <v>510.12</v>
    <v>499.7</v>
    <v>493.95</v>
    <v>491.65</v>
    <v>492.44</v>
    <v>495.63</v>
    <v>505.41</v>
    <v>497.12</v>
    <v>490.3</v>
    <v>497.75</v>
    <v>493.78</v>
    <v>501.61</v>
    <v>498</v>
    <v>500.59</v>
    <v>497.93</v>
    <v>516.16999999999996</v>
    <v>509.22</v>
    <v>508.96</v>
    <v>512.9</v>
    <v>512.79999999999995</v>
    <v>517.53</v>
    <v>525.17999999999995</v>
    <v>529.29999999999995</v>
    <v>529.76</v>
    <v>522.61</v>
    <v>535.07000000000005</v>
    <v>541.15</v>
    <v>543.45000000000005</v>
    <v>533.69000000000005</v>
    <v>539.44000000000005</v>
    <v>529.04999999999995</v>
    <v>533.52</v>
    <v>531.87</v>
    <v>532.95000000000005</v>
    <v>521.08000000000004</v>
    <v>524.51</v>
    <v>532.6</v>
    <v>531.33000000000004</v>
  </a>
  <a r="1" c="110">
    <v t="i">205</v>
    <v t="i">206</v>
    <v t="i">210</v>
    <v t="i">211</v>
    <v t="i">212</v>
    <v t="i">213</v>
    <v t="i">216</v>
    <v t="i">217</v>
    <v t="i">218</v>
    <v t="i">219</v>
    <v t="i">220</v>
    <v t="i">223</v>
    <v t="i">224</v>
    <v t="i">225</v>
    <v t="i">226</v>
    <v t="i">227</v>
    <v t="i">230</v>
    <v t="i">231</v>
    <v t="i">232</v>
    <v t="i">233</v>
    <v t="i">237</v>
    <v t="i">238</v>
    <v t="i">239</v>
    <v t="i">240</v>
    <v t="i">241</v>
    <v t="i">244</v>
    <v t="i">245</v>
    <v t="i">246</v>
    <v t="i">247</v>
    <v t="i">251</v>
    <v t="i">252</v>
    <v t="i">253</v>
    <v t="i">254</v>
    <v t="i">255</v>
    <v t="i">258</v>
    <v t="i">259</v>
    <v t="i">260</v>
    <v t="i">261</v>
    <v t="i">262</v>
    <v t="i">265</v>
    <v t="i">266</v>
    <v t="i">267</v>
    <v t="i">268</v>
    <v t="i">269</v>
    <v t="i">272</v>
    <v t="i">273</v>
    <v t="i">274</v>
    <v t="i">275</v>
    <v t="i">276</v>
    <v t="i">279</v>
    <v t="i">280</v>
    <v t="i">281</v>
    <v t="i">282</v>
    <v t="i">283</v>
    <v t="i">286</v>
    <v t="i">287</v>
    <v t="i">288</v>
    <v t="i">289</v>
    <v t="i">290</v>
    <v t="i">293</v>
    <v t="i">294</v>
    <v t="i">295</v>
    <v t="i">296</v>
    <v t="i">297</v>
    <v t="i">300</v>
    <v t="i">301</v>
    <v t="i">302</v>
    <v t="i">303</v>
    <v t="i">304</v>
    <v t="i">307</v>
    <v t="i">308</v>
    <v t="i">309</v>
    <v t="i">310</v>
    <v t="i">311</v>
    <v t="i">315</v>
    <v t="i">316</v>
    <v t="i">317</v>
    <v t="i">318</v>
    <v t="i">321</v>
    <v t="i">322</v>
    <v t="i">323</v>
    <v t="i">324</v>
    <v t="i">325</v>
    <v t="i">328</v>
    <v t="i">329</v>
    <v t="i">330</v>
    <v t="i">331</v>
    <v t="i">332</v>
    <v t="i">335</v>
    <v t="i">336</v>
    <v t="i">337</v>
    <v t="i">338</v>
    <v t="i">339</v>
    <v t="i">342</v>
    <v t="i">343</v>
    <v t="i">344</v>
    <v t="i">345</v>
    <v t="i">346</v>
    <v t="i">349</v>
    <v t="i">350</v>
    <v t="i">351</v>
    <v t="i">352</v>
    <v t="i">353</v>
    <v t="i">356</v>
    <v t="i">357</v>
    <v t="i">358</v>
    <v t="i">359</v>
    <v t="i">360</v>
    <v t="i">363</v>
    <v t="i">364</v>
  </a>
  <a r="1" c="110">
    <v>-99999901</v>
    <v>-99999901</v>
    <v>-99999901</v>
    <v>-99999901</v>
    <v>-99999901</v>
    <v>-99999901</v>
    <v>-99999901</v>
    <v>-99999901</v>
    <v>-99999901</v>
    <v>-99999901</v>
    <v>-99999901</v>
    <v>-99999901</v>
    <v>-99999901</v>
    <v>-99999901</v>
    <v>-99999901</v>
    <v>160.94999999999999</v>
    <v>192.5</v>
    <v>201.8</v>
    <v>191.82</v>
    <v>185</v>
    <v>154.6</v>
    <v>156.11000000000001</v>
    <v>154.54</v>
    <v>153</v>
    <v>153.22999999999999</v>
    <v>164.19</v>
    <v>170.86</v>
    <v>157.54</v>
    <v>162</v>
    <v>160.41999999999999</v>
    <v>149.47</v>
    <v>148.30000000000001</v>
    <v>152.16</v>
    <v>145.30000000000001</v>
    <v>139.13999999999999</v>
    <v>136.08000000000001</v>
    <v>135.27000000000001</v>
    <v>131.11000000000001</v>
    <v>123.99</v>
    <v>119.85</v>
    <v>123.54</v>
    <v>115.26</v>
    <v>118.24</v>
    <v>115.07</v>
    <v>113.5</v>
    <v>116.41</v>
    <v>112.55</v>
    <v>112.2</v>
    <v>108.37</v>
    <v>114.53</v>
    <v>125.33</v>
    <v>108.27</v>
    <v>114.92</v>
    <v>133.11000000000001</v>
    <v>138.74</v>
    <v>133.29</v>
    <v>146.15</v>
    <v>141.29</v>
    <v>140</v>
    <v>146.22999999999999</v>
    <v>143.34</v>
    <v>139.65</v>
    <v>134</v>
    <v>136.97</v>
    <v>135</v>
    <v>137.94999999999999</v>
    <v>139.63</v>
    <v>140.87</v>
    <v>141.5</v>
    <v>143.69</v>
    <v>142.22999999999999</v>
    <v>140.71</v>
    <v>149.74</v>
    <v>147.94999999999999</v>
    <v>153.47</v>
    <v>147.55000000000001</v>
    <v>148.18</v>
    <v>151.21</v>
    <v>148.15</v>
    <v>143.49</v>
    <v>150.88</v>
    <v>154.81</v>
    <v>152.71</v>
    <v>151.85</v>
    <v>154.72</v>
    <v>148.36000000000001</v>
    <v>148.03</v>
    <v>148.68</v>
    <v>145.47</v>
    <v>149.24</v>
    <v>150.86000000000001</v>
    <v>148.07</v>
    <v>158.96</v>
    <v>171.09</v>
    <v>171.92</v>
    <v>167.6</v>
    <v>160.57</v>
    <v>162.57</v>
    <v>163.41999999999999</v>
    <v>156.54</v>
    <v>152.16</v>
    <v>148.62</v>
    <v>146.03</v>
    <v>147.96</v>
    <v>147.79</v>
    <v>159.31</v>
    <v>144.75</v>
    <v>147.49</v>
    <v>146.9</v>
    <v>148.58000000000001</v>
  </a>
</arrayData>
</file>

<file path=xl/richData/rdrichvalue.xml><?xml version="1.0" encoding="utf-8"?>
<rvData xmlns="http://schemas.microsoft.com/office/spreadsheetml/2017/richdata" count="4040">
  <rv s="0">
    <v>https://www.bing.com/financeapi/forcetrigger?t=a1u3p2&amp;q=XNAS%3aGOOG&amp;form=skydnc</v>
    <v>Learn more on Bing</v>
  </rv>
  <rv s="1">
    <v>0</v>
    <v>ALPHABET INC. (XNAS:GOOG)</v>
    <v>2</v>
    <v>3</v>
    <v>Finance</v>
    <v>4</v>
    <v>en-GB</v>
    <v>a1u3p2</v>
    <v>268435456</v>
    <v>1</v>
    <v>Powered by Refinitiv</v>
    <v>404.47</v>
    <v>267.17</v>
    <v>1.2030000000000001</v>
    <v>3.76</v>
    <v>1.1868E-2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322.5992</v>
    <v>Software &amp; IT Services</v>
    <v>Stock</v>
    <v>46323.66409079844</v>
    <v>0</v>
    <v>319.68</v>
    <v>3920815699999</v>
    <v>ALPHABET INC.</v>
    <v>ALPHABET INC.</v>
    <v>320</v>
    <v>16.114999999999998</v>
    <v>316.83</v>
    <v>320.58999999999997</v>
    <v>12230000000</v>
    <v>GOOG</v>
    <v>ALPHABET INC. (XNAS:GOOG)</v>
    <v>7148732</v>
    <v>15992183</v>
    <v>2015</v>
  </rv>
  <rv s="2">
    <v>1</v>
  </rv>
  <rv s="3">
    <v>5</v>
    <v>COREWEAVE, INC. (XNAS:CRWV)</v>
    <v>6</v>
    <v>3</v>
    <v>Finance</v>
    <v>4</v>
    <v>en-GB</v>
    <v>cgblqh</v>
    <v>268435456</v>
    <v>1</v>
    <v>Powered by Refinitiv</v>
    <v>141.79</v>
    <v>51.24</v>
    <v>2.9889999999999999</v>
    <v>1.0249999999999999</v>
    <v>1.7207E-2</v>
    <v>USD</v>
    <v>CoreWeave, Inc. is a cloud infrastructure technology company. The Company offers the CoreWeave Cloud Platform, which consists of software and cloud services that deliver the automation and efficiency needed to manage complex artificial intelligence (AI) infrastructure. Its CoreWeave Cloud Platform is an integrated solution that is purpose-built for running AI workloads such as model training and inference. Its solutions include infrastructure services, managed software services, and application software services. Its Infrastructure Services provide its customers with access to advanced graphics processing unit (GPU) and central processing unit (CPU) compute, highly performant networking, and storage. Its Managed Software Services include CKS, a flexible virtual private cloud and a bare metal service that runs kubernetes directly on high-performance servers. Its Application Software Services build on top of its infrastructure and managed software services, integrating additional tools.</v>
    <v>2189</v>
    <v>Nasdaq Stock Market</v>
    <v>XNAS</v>
    <v>XNAS</v>
    <v>290 W. Mt. Pleasant Avenue, Suite 4100, LIVINGSTON, NJ, 07039 US</v>
    <v>60.98</v>
    <v>Software &amp; IT Services</v>
    <v>Stock</v>
    <v>46323.664081793751</v>
    <v>58.55</v>
    <v>33420360277</v>
    <v>COREWEAVE, INC.</v>
    <v>COREWEAVE, INC.</v>
    <v>60.42</v>
    <v>0</v>
    <v>59.57</v>
    <v>60.594999999999999</v>
    <v>551536600</v>
    <v>CRWV</v>
    <v>COREWEAVE, INC. (XNAS:CRWV)</v>
    <v>19589798</v>
    <v>49911164</v>
    <v>2017</v>
  </rv>
  <rv s="2">
    <v>3</v>
  </rv>
  <rv s="0">
    <v>https://www.bing.com/financeapi/forcetrigger?t=b19hc7&amp;q=XNYS%3aVRT&amp;form=skydnc</v>
    <v>Learn more on Bing</v>
  </rv>
  <rv s="1">
    <v>0</v>
    <v>VERTIV HOLDINGS CO (XNYS:VRT)</v>
    <v>2</v>
    <v>3</v>
    <v>Finance</v>
    <v>4</v>
    <v>en-GB</v>
    <v>b19hc7</v>
    <v>268435456</v>
    <v>1</v>
    <v>Powered by Refinitiv</v>
    <v>379.935</v>
    <v>147.82</v>
    <v>2.1038999999999999</v>
    <v>26.675000000000001</v>
    <v>0.12790100000000001</v>
    <v>USD</v>
    <v>Vertiv Holdings Co. provides mission-critical digital infrastructure technologies and lifecycle services primarily for data centers, communication networks, and commercial and industrial environments. The Company operates in three business segments: the Americas; Asia Pacific, and Europe, Middle East &amp; Africa. The Company's offerings include alternate current (AC) and direct current (DC) power management, thermal management, low/medium voltage switchgear, busbar, air cooled and liquid cooled thermal management products, integrated modular solutions, racks, single phase UPS, rack power distribution, rack thermal systems, configurable integrated solutions, energy storage solutions, hardware, software for managing IT equipment, management systems for monitoring and controlling digital infrastructure, and services. It also provides preventative maintenance, acceptance testing, engineering and consulting, remote monitoring, training, spare parts, specialized fluid management, and others.</v>
    <v>34000</v>
    <v>New York Stock Exchange</v>
    <v>XNYS</v>
    <v>XNYS</v>
    <v>505 N. Cleveland Ave., WESTERVILLE, OH, 43082 US</v>
    <v>241.55</v>
    <v>Machinery, Equipment &amp; Components</v>
    <v>Stock</v>
    <v>46323.66405738359</v>
    <v>5</v>
    <v>228.82</v>
    <v>90562699227</v>
    <v>VERTIV HOLDINGS CO</v>
    <v>VERTIV HOLDINGS CO</v>
    <v>240.26</v>
    <v>53.233800000000002</v>
    <v>208.56</v>
    <v>235.23500000000001</v>
    <v>384988200</v>
    <v>VRT</v>
    <v>VERTIV HOLDINGS CO (XNYS:VRT)</v>
    <v>10425482</v>
    <v>5471268</v>
    <v>2016</v>
  </rv>
  <rv s="2">
    <v>6</v>
  </rv>
  <rv s="0">
    <v>https://www.bing.com/financeapi/forcetrigger?t=a1uvm7&amp;q=XNYS%3aHSBC&amp;form=skydnc</v>
    <v>Learn more on Bing</v>
  </rv>
  <rv s="1">
    <v>0</v>
    <v>HSBC HOLDINGS PLC (XNYS:HSBC)</v>
    <v>2</v>
    <v>3</v>
    <v>Finance</v>
    <v>4</v>
    <v>en-GB</v>
    <v>a1uvm7</v>
    <v>268435456</v>
    <v>1</v>
    <v>Powered by Refinitiv</v>
    <v>107.9199</v>
    <v>67.56</v>
    <v>0.5363</v>
    <v>-0.06</v>
    <v>-6.9760000000000004E-4</v>
    <v>USD</v>
    <v>HSBC Holdings plc (HSBC) is a banking and financial services company. Its business segments include Hong Kong, UK, Corporate and Institutional Banking (CIB), and International Wealth and Premier Banking (IWPB). Its Hong Kong business comprises retail banking and wealth and commercial banking of HSBC Hong Kong and Hang Seng Bank. Its UK business comprises UK retail banking and wealth (including first direct and M&amp;S Bank) and UK commercial banking, including HSBC Innovation Bank. CIB segment is formed from the integration of its commercial banking business (outside the UK and Hong Kong) with its global banking and markets business. IWPB segment comprises premier banking outside of Hong Kong and the UK, its private bank, and its wealth manufacturing businesses of asset management and insurance. Its customers worldwide through a network covering 56 countries and territories. Its customers range from personal banking and wealth customers to large corporates, institutions and governments.</v>
    <v>206161</v>
    <v>New York Stock Exchange</v>
    <v>XNYS</v>
    <v>XNYS</v>
    <v>8 Canada Square, LONDON, E14 5HQ GB</v>
    <v>86.56</v>
    <v>Banking Services</v>
    <v>Stock</v>
    <v>46323.664030010936</v>
    <v>8</v>
    <v>85.55</v>
    <v>294551079750</v>
    <v>HSBC HOLDINGS PLC</v>
    <v>HSBC HOLDINGS PLC</v>
    <v>86.56</v>
    <v>11.1996</v>
    <v>86.01</v>
    <v>85.95</v>
    <v>3427005000</v>
    <v>HSBC</v>
    <v>HSBC HOLDINGS PLC (XNYS:HSBC)</v>
    <v>785979</v>
    <v>1926295</v>
    <v>1959</v>
  </rv>
  <rv s="2">
    <v>9</v>
  </rv>
  <rv s="0">
    <v>https://www.bing.com/financeapi/forcetrigger?t=a1wljc&amp;q=XNYS%3aKO&amp;form=skydnc</v>
    <v>Learn more on Bing</v>
  </rv>
  <rv s="1">
    <v>0</v>
    <v>THE COCA-COLA COMPANY (XNYS:KO)</v>
    <v>2</v>
    <v>3</v>
    <v>Finance</v>
    <v>4</v>
    <v>en-GB</v>
    <v>a1wljc</v>
    <v>268435456</v>
    <v>1</v>
    <v>Powered by Refinitiv</v>
    <v>95.37</v>
    <v>67.274000000000001</v>
    <v>0.2949</v>
    <v>0.94499999999999995</v>
    <v>1.0364E-2</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92.355000000000004</v>
    <v>Beverages</v>
    <v>Stock</v>
    <v>46323.664067060156</v>
    <v>11</v>
    <v>90.58</v>
    <v>396372326625</v>
    <v>THE COCA-COLA COMPANY</v>
    <v>THE COCA-COLA COMPANY</v>
    <v>90.875</v>
    <v>27.161100000000001</v>
    <v>91.18</v>
    <v>92.125</v>
    <v>4302549000</v>
    <v>KO</v>
    <v>THE COCA-COLA COMPANY (XNYS:KO)</v>
    <v>4956271</v>
    <v>16292433</v>
    <v>1919</v>
  </rv>
  <rv s="2">
    <v>12</v>
  </rv>
  <rv s="0">
    <v>https://www.bing.com/financeapi/forcetrigger?t=a1yv52&amp;q=XNAS%3aNVDA&amp;form=skydnc</v>
    <v>Learn more on Bing</v>
  </rv>
  <rv s="1">
    <v>0</v>
    <v>NVIDIA CORPORATION (XNAS:NVDA)</v>
    <v>2</v>
    <v>3</v>
    <v>Finance</v>
    <v>4</v>
    <v>en-GB</v>
    <v>a1yv52</v>
    <v>268435456</v>
    <v>1</v>
    <v>Powered by Refinitiv</v>
    <v>243.37</v>
    <v>164.27</v>
    <v>2.1890999999999998</v>
    <v>-0.64</v>
    <v>-2.9370000000000004E-3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219.99</v>
    <v>Semiconductors &amp; Semiconductor Equipment</v>
    <v>Stock</v>
    <v>46323.664092615625</v>
    <v>14</v>
    <v>216.96</v>
    <v>5236930000000</v>
    <v>NVIDIA CORPORATION</v>
    <v>NVIDIA CORPORATION</v>
    <v>219.89</v>
    <v>27.469100000000001</v>
    <v>217.94</v>
    <v>217.3</v>
    <v>24100000000</v>
    <v>NVDA</v>
    <v>NVIDIA CORPORATION (XNAS:NVDA)</v>
    <v>27333288</v>
    <v>101547514</v>
    <v>1998</v>
  </rv>
  <rv s="2">
    <v>15</v>
  </rv>
  <rv s="0">
    <v>https://www.bing.com/financeapi/forcetrigger?t=a25ya2&amp;q=XNYS%3aWMT&amp;form=skydnc</v>
    <v>Learn more on Bing</v>
  </rv>
  <rv s="1">
    <v>0</v>
    <v>WALMART INC. (XNAS:WMT)</v>
    <v>2</v>
    <v>3</v>
    <v>Finance</v>
    <v>4</v>
    <v>en-GB</v>
    <v>a25ya2</v>
    <v>268435456</v>
    <v>1</v>
    <v>Powered by Refinitiv</v>
    <v>135.155</v>
    <v>98.88</v>
    <v>0.56569999999999998</v>
    <v>-0.7</v>
    <v>-5.8669999999999998E-3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as well as eCommerce, which includes omnichannel initiatives. The Sam's Club U.S. segment includes the warehouse membership clubs in the U.S., as well as eCommerce, which includes omnichannel initiatives.</v>
    <v>2100000</v>
    <v>Nasdaq Stock Market</v>
    <v>XNAS</v>
    <v>XNAS</v>
    <v>1 Customer Drive, BENTONVILLE, AR, 72716 US</v>
    <v>119.09</v>
    <v>Food &amp; Drug Retailing</v>
    <v>Stock</v>
    <v>46323.664063425778</v>
    <v>17</v>
    <v>118.1118</v>
    <v>941100950520</v>
    <v>WALMART INC.</v>
    <v>WALMART INC.</v>
    <v>118.38</v>
    <v>42.976700000000001</v>
    <v>119.32</v>
    <v>118.62</v>
    <v>7933746000</v>
    <v>WMT</v>
    <v>WALMART INC. (XNAS:WMT)</v>
    <v>3509943</v>
    <v>21025698</v>
    <v>1969</v>
  </rv>
  <rv s="2">
    <v>18</v>
  </rv>
  <rv s="0">
    <v>http://en.wikipedia.org/wiki/Public_domain</v>
    <v>Public domain</v>
  </rv>
  <rv s="0">
    <v>https://en.wikipedia.org/wiki/Microsoft</v>
    <v>Wikipedia</v>
  </rv>
  <rv s="4">
    <v>20</v>
    <v>21</v>
  </rv>
  <rv s="5">
    <v>11</v>
    <v>https://www.bing.com/th?id=AMMS_e6e837c7bf3a77408619758b7447855a&amp;qlt=95</v>
    <v>22</v>
    <v>0</v>
    <v>https://www.bing.com/images/search?form=xlimg&amp;q=microsoft</v>
    <v>Image of MICROSOFT CORPORATION</v>
  </rv>
  <rv s="0">
    <v>https://www.bing.com/financeapi/forcetrigger?t=a1xzim&amp;q=XNAS%3aMSFT&amp;form=skydnc</v>
    <v>Learn more on Bing</v>
  </rv>
  <rv s="6">
    <v>7</v>
    <v>MICROSOFT CORPORATION (XNAS:MSFT)</v>
    <v>9</v>
    <v>10</v>
    <v>Finance</v>
    <v>4</v>
    <v>en-GB</v>
    <v>a1xzim</v>
    <v>268435456</v>
    <v>1</v>
    <v>Powered by Refinitiv</v>
    <v>553.72</v>
    <v>349.2</v>
    <v>1.0486</v>
    <v>-3.77</v>
    <v>-7.0950000000000006E-3</v>
    <v>USD</v>
    <v>Microsoft Corporation is a technology company. The Company develops and supports software, services, devices, and solutions. The Productivity and Business Processes segment consists of products and services in its portfolio of productivity, communication, and information services. This segment primarily includes Microsoft 365 Commercial products and cloud services, Microsoft 365 Consumer products and cloud services, LinkedIn, and Dynamics products and cloud services. The Intelligent Cloud segment consists of server products and cloud services, including Azure and other cloud services comprising cloud and AI consumption-based services, GitHub cloud services, Health and Life Sciences cloud services, and other cloud services; and Server products consist of SQL Server, Windows Server, Visual Studio, System Center, related Client Access Licenses, and other on-premises offerings. The More Personal Computing segment primarily comprises Windows and Devices, XBOX, and Search advertising.</v>
    <v>223000</v>
    <v>Nasdaq Stock Market</v>
    <v>XNAS</v>
    <v>XNAS</v>
    <v>One Microsoft Way, REDMOND, WA, 98052 US</v>
    <v>534.572</v>
    <v>23</v>
    <v>Software &amp; IT Services</v>
    <v>Stock</v>
    <v>46323.664079976559</v>
    <v>24</v>
    <v>527.01</v>
    <v>3917885828119</v>
    <v>MICROSOFT CORPORATION</v>
    <v>MICROSOFT CORPORATION</v>
    <v>531.57000000000005</v>
    <v>29.395900000000001</v>
    <v>531.33000000000004</v>
    <v>527.55999999999995</v>
    <v>7426427000</v>
    <v>MSFT</v>
    <v>MICROSOFT CORPORATION (XNAS:MSFT)</v>
    <v>5845017</v>
    <v>20670977</v>
    <v>1993</v>
  </rv>
  <rv s="2">
    <v>25</v>
  </rv>
  <rv s="0">
    <v>https://www.bing.com/financeapi/forcetrigger?t=a1mou2&amp;q=XNAS%3aAAPL&amp;form=skydnc</v>
    <v>Learn more on Bing</v>
  </rv>
  <rv s="1">
    <v>0</v>
    <v>APPLE INC. (XNAS:AAPL)</v>
    <v>2</v>
    <v>3</v>
    <v>Finance</v>
    <v>4</v>
    <v>en-GB</v>
    <v>a1mou2</v>
    <v>268435456</v>
    <v>1</v>
    <v>Powered by Refinitiv</v>
    <v>351.73</v>
    <v>243.42</v>
    <v>1.0794999999999999</v>
    <v>-2.13</v>
    <v>-6.1370000000000001E-3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347.18</v>
    <v>Computers, Phones &amp; Household Electronics</v>
    <v>Stock</v>
    <v>46323.664076087502</v>
    <v>27</v>
    <v>344.57</v>
    <v>5034554274600</v>
    <v>APPLE INC.</v>
    <v>APPLE INC.</v>
    <v>346.8</v>
    <v>39.694600000000001</v>
    <v>347.1</v>
    <v>344.97</v>
    <v>14594180000</v>
    <v>AAPL</v>
    <v>APPLE INC. (XNAS:AAPL)</v>
    <v>8696489</v>
    <v>37573699</v>
    <v>1977</v>
  </rv>
  <rv s="2">
    <v>28</v>
  </rv>
  <rv s="0">
    <v>https://www.bing.com/financeapi/forcetrigger?t=a1nz8m&amp;q=XNAS%3aAVGO&amp;form=skydnc</v>
    <v>Learn more on Bing</v>
  </rv>
  <rv s="1">
    <v>0</v>
    <v>BROADCOM INC. (XNAS:AVGO)</v>
    <v>2</v>
    <v>3</v>
    <v>Finance</v>
    <v>4</v>
    <v>en-GB</v>
    <v>a1nz8m</v>
    <v>268435456</v>
    <v>1</v>
    <v>Powered by Refinitiv</v>
    <v>495</v>
    <v>289.95999999999998</v>
    <v>1.4911000000000001</v>
    <v>3.82</v>
    <v>1.1158999999999999E-2</v>
    <v>USD</v>
    <v>Broadcom Inc. is a global technology company. It designs, develops and supplies a broad range of semiconductor and semiconductor-based solutions and infrastructure software solutions. Its semiconductor solutions segment are used in an array of environments, end products and applications such as enterprise and artificial intelligence (AI) data centers, servers and networking and connectivity equipment, and storage systems, home connectivity devices, set-top boxes, broadband access, telecommunication equipment, wireless devices and base stations, factory automation, power generation and alternative energy systems, and electronic displays. Its semiconductor solutions also include intellectual property (IP) licensing. Its infrastructure software segment includes its private cloud, mainframe software, cybersecurity and enterprise software portfolios, and its FC SAN business. Its infrastructure software solutions help enterprises simplify their information technology (IT) environments.</v>
    <v>33000</v>
    <v>Nasdaq Stock Market</v>
    <v>XNAS</v>
    <v>XNAS</v>
    <v>3421 Hillview Avenue, PALO ALTO, CA, 94304 US</v>
    <v>351.61</v>
    <v>Semiconductors &amp; Semiconductor Equipment</v>
    <v>Stock</v>
    <v>46323.664051828127</v>
    <v>30</v>
    <v>344.35</v>
    <v>1652392024500</v>
    <v>BROADCOM INC.</v>
    <v>BROADCOM INC.</v>
    <v>349.46</v>
    <v>44.209299999999999</v>
    <v>342.33</v>
    <v>346.15</v>
    <v>4773630000</v>
    <v>AVGO</v>
    <v>BROADCOM INC. (XNAS:AVGO)</v>
    <v>6863613</v>
    <v>21537743</v>
    <v>2018</v>
  </rv>
  <rv s="2">
    <v>31</v>
  </rv>
  <rv s="0">
    <v>https://www.bing.com/financeapi/forcetrigger?t=a1v6hw&amp;q=XNAS%3aIBKR&amp;form=skydnc</v>
    <v>Learn more on Bing</v>
  </rv>
  <rv s="1">
    <v>0</v>
    <v>INTERACTIVE BROKERS GROUP, INC. (XNAS:IBKR)</v>
    <v>2</v>
    <v>3</v>
    <v>Finance</v>
    <v>4</v>
    <v>en-GB</v>
    <v>a1v6hw</v>
    <v>268435456</v>
    <v>1</v>
    <v>Powered by Refinitiv</v>
    <v>98.75</v>
    <v>58.95</v>
    <v>1.3588</v>
    <v>0.31</v>
    <v>3.7690000000000002E-3</v>
    <v>USD</v>
    <v>Interactive Brokers Group, Inc. is an automated global electronic broker. The Company custodies and services accounts for hedge and mutual funds, exchange-traded funds (ETFs), registered investment advisors, proprietary trading groups, introducing brokers and individual investors. It specializes in routing orders and executing and processing trades in stocks, options, futures, foreign exchange instruments (forex), bonds, mutual funds, ETFs, precious metals, and forecast contracts on more than 170 electronic exchanges and market centers in 40 countries and 29 currencies around the world. In addition, its customers can use its trading platform to trade certain cryptocurrencies through third-party cryptocurrency service providers that execute, clear and custody the cryptocurrencies. Its trading platforms include IBKR Desktop, IBKR Trader Workstation, IBKR Mobile, IBKR Client Portal and others. Its key product offerings include IBKR Pro, IBKR Lite, and IBKR Universal Account.</v>
    <v>3265</v>
    <v>Nasdaq Stock Market</v>
    <v>XNAS</v>
    <v>XNAS</v>
    <v>1 Pickwick Plz, GREENWICH, CT, 06830 US</v>
    <v>82.855000000000004</v>
    <v>Investment Banking &amp; Investment Services</v>
    <v>Stock</v>
    <v>46323.664055115623</v>
    <v>33</v>
    <v>81.680000000000007</v>
    <v>140666966400</v>
    <v>INTERACTIVE BROKERS GROUP, INC.</v>
    <v>INTERACTIVE BROKERS GROUP, INC.</v>
    <v>82.48</v>
    <v>31.487400000000001</v>
    <v>82.25</v>
    <v>82.56</v>
    <v>1703815000</v>
    <v>IBKR</v>
    <v>INTERACTIVE BROKERS GROUP, INC. (XNAS:IBKR)</v>
    <v>1360898</v>
    <v>4144224</v>
    <v>2006</v>
  </rv>
  <rv s="2">
    <v>34</v>
  </rv>
  <rv s="0">
    <v>https://www.bing.com/financeapi/forcetrigger?t=a1q6k2&amp;q=XNAS%3aCOST&amp;form=skydnc</v>
    <v>Learn more on Bing</v>
  </rv>
  <rv s="1">
    <v>0</v>
    <v>COSTCO WHOLESALE CORPORATION (XNAS:COST)</v>
    <v>2</v>
    <v>3</v>
    <v>Finance</v>
    <v>4</v>
    <v>en-GB</v>
    <v>a1q6k2</v>
    <v>268435456</v>
    <v>1</v>
    <v>Powered by Refinitiv</v>
    <v>1096.5</v>
    <v>844.06</v>
    <v>0.8629</v>
    <v>-9.61</v>
    <v>-9.6860000000000002E-3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355000</v>
    <v>Nasdaq Stock Market</v>
    <v>XNAS</v>
    <v>XNAS</v>
    <v>999 Lake Dr, ISSAQUAH, WA, 98027- US</v>
    <v>984.72900000000004</v>
    <v>Diversified Retail</v>
    <v>Stock</v>
    <v>46323.664047696097</v>
    <v>36</v>
    <v>980.31500000000005</v>
    <v>435383498088</v>
    <v>COSTCO WHOLESALE CORPORATION</v>
    <v>COSTCO WHOLESALE CORPORATION</v>
    <v>984</v>
    <v>47.329099999999997</v>
    <v>992.13</v>
    <v>982.52</v>
    <v>443129400</v>
    <v>COST</v>
    <v>COSTCO WHOLESALE CORPORATION (XNAS:COST)</v>
    <v>390272</v>
    <v>2289477</v>
    <v>1987</v>
  </rv>
  <rv s="2">
    <v>37</v>
  </rv>
  <rv s="0">
    <v>https://www.bing.com/financeapi/forcetrigger?t=a1nhlh&amp;q=XNAS%3aAMZN&amp;form=skydnc</v>
    <v>Learn more on Bing</v>
  </rv>
  <rv s="1">
    <v>0</v>
    <v>AMAZON.COM, INC. (XNAS:AMZN)</v>
    <v>2</v>
    <v>3</v>
    <v>Finance</v>
    <v>4</v>
    <v>en-GB</v>
    <v>a1nhlh</v>
    <v>268435456</v>
    <v>1</v>
    <v>Powered by Refinitiv</v>
    <v>287.2</v>
    <v>196</v>
    <v>1.4918</v>
    <v>-0.77</v>
    <v>-3.0420000000000004E-3</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255.36</v>
    <v>Diversified Retail</v>
    <v>Stock</v>
    <v>46323.664075242967</v>
    <v>39</v>
    <v>251.98</v>
    <v>2721709602300</v>
    <v>AMAZON.COM, INC.</v>
    <v>AMAZON.COM, INC.</v>
    <v>252.86</v>
    <v>20.2958</v>
    <v>253.1</v>
    <v>252.33</v>
    <v>10786310000</v>
    <v>AMZN</v>
    <v>AMAZON.COM, INC. (XNAS:AMZN)</v>
    <v>9947194</v>
    <v>35801962</v>
    <v>1996</v>
  </rv>
  <rv s="2">
    <v>40</v>
  </rv>
  <rv s="0">
    <v>https://www.bing.com/financeapi/forcetrigger?t=a1q5nm&amp;q=XNYS%3aCOP&amp;form=skydnc</v>
    <v>Learn more on Bing</v>
  </rv>
  <rv s="1">
    <v>0</v>
    <v>CONOCOPHILLIPS (XNYS:COP)</v>
    <v>2</v>
    <v>3</v>
    <v>Finance</v>
    <v>4</v>
    <v>en-GB</v>
    <v>a1q5nm</v>
    <v>268435456</v>
    <v>1</v>
    <v>Powered by Refinitiv</v>
    <v>152.77000000000001</v>
    <v>85.57</v>
    <v>0.2082</v>
    <v>2.2799999999999998</v>
    <v>1.541E-2</v>
    <v>USD</v>
    <v>ConocoPhillips is an exploration and production company. The Companies segments include Alaska; Lower 48 (L48); Canada; Europe, Middle East and North Africa (EMENA); and Asia Pacific (AP). Its Alaska segment primarily explores for, produces, transports and markets crude oil, natural gas and natural gas liquids (NGLs). The Lower 48 segment consists of operations located in the 48 contiguous states in the United States. Canadian operations consist of the Surmont oil sands development in Alberta, the liquids-rich Montney unconventional play in British Columbia and commercial operations. The Europe, Middle East and North Africa segment consists of operations principally located in the Norwegian sector of the North Sea, the Norwegian Sea, Qatar, Libya, Equatorial Guinea and commercial and terminalling operations in the United Kingdom. Asia Pacific segment has exploration and production operations in China, Malaysia, Australia and commercial operations in China, Singapore and Japan.</v>
    <v>9600</v>
    <v>New York Stock Exchange</v>
    <v>XNYS</v>
    <v>XNYS</v>
    <v>925 N. Eldridge Parkway, HOUSTON, TX, 77079-2703 US</v>
    <v>150.435</v>
    <v>Oil &amp; Gas</v>
    <v>Stock</v>
    <v>46323.664040370313</v>
    <v>42</v>
    <v>148.22999999999999</v>
    <v>180489021120</v>
    <v>CONOCOPHILLIPS</v>
    <v>CONOCOPHILLIPS</v>
    <v>148.75</v>
    <v>20.7818</v>
    <v>147.96</v>
    <v>150.24</v>
    <v>1201338000</v>
    <v>COP</v>
    <v>CONOCOPHILLIPS (XNYS:COP)</v>
    <v>1086177</v>
    <v>5830267</v>
    <v>2001</v>
  </rv>
  <rv s="2">
    <v>43</v>
  </rv>
  <rv s="0">
    <v>https://www.bing.com/financeapi/forcetrigger?t=a1qlz2&amp;q=XNYS%3aCVX&amp;form=skydnc</v>
    <v>Learn more on Bing</v>
  </rv>
  <rv s="1">
    <v>0</v>
    <v>CHEVRON CORPORATION (XNYS:CVX)</v>
    <v>2</v>
    <v>3</v>
    <v>Finance</v>
    <v>4</v>
    <v>en-GB</v>
    <v>a1qlz2</v>
    <v>268435456</v>
    <v>1</v>
    <v>Powered by Refinitiv</v>
    <v>234.08</v>
    <v>146.49</v>
    <v>0.47989999999999999</v>
    <v>3.2349999999999999</v>
    <v>1.4173999999999999E-2</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231.56</v>
    <v>Oil &amp; Gas</v>
    <v>Stock</v>
    <v>46323.664073089843</v>
    <v>45</v>
    <v>228.34</v>
    <v>457321834515</v>
    <v>CHEVRON CORPORATION</v>
    <v>CHEVRON CORPORATION</v>
    <v>228.86</v>
    <v>22.1952</v>
    <v>228.23</v>
    <v>231.465</v>
    <v>1975771000</v>
    <v>CVX</v>
    <v>CHEVRON CORPORATION (XNYS:CVX)</v>
    <v>1554683</v>
    <v>7433684</v>
    <v>1926</v>
  </rv>
  <rv s="2">
    <v>46</v>
  </rv>
  <rv s="0">
    <v>https://www.bing.com/financeapi/forcetrigger?t=a21t52&amp;q=XNYS%3aSHEL&amp;form=skydnc</v>
    <v>Learn more on Bing</v>
  </rv>
  <rv s="1">
    <v>0</v>
    <v>SHELL PLC (XNYS:SHEL)</v>
    <v>2</v>
    <v>3</v>
    <v>Finance</v>
    <v>4</v>
    <v>en-GB</v>
    <v>a21t52</v>
    <v>268435456</v>
    <v>1</v>
    <v>Powered by Refinitiv</v>
    <v>108.43</v>
    <v>68.625</v>
    <v>8.3400000000000002E-2</v>
    <v>0.86</v>
    <v>8.208E-3</v>
    <v>USD</v>
    <v>Shell plc is an international energy company engaged in the principal aspects of the energy and petrochemical industries. The Company's segments include Integrated Gas, Upstream, Marketing, Chemicals and Products, Renewables and Energy Solutions, and Corporate. The Integrated Gas segment includes liquefied natural gas (LNG), conversion of natural gas into gas-to-liquids (GTL) fuels and other products. It includes natural gas and liquids exploration and extraction, and the operation of the upstream and midstream infrastructure. The Upstream segment includes exploration and extraction of crude oil, natural gas and natural gas liquids. It also markets and transports oil and gas and operates the infrastructure necessary to deliver them to the market. The Marketing segment comprises the Mobility, Lubricants, and Sectors &amp; Decarbonization businesses. The Chemicals and Products segment includes chemical manufacturing plants with their own marketing network, and refineries.</v>
    <v>85000</v>
    <v>New York Stock Exchange</v>
    <v>XNYS</v>
    <v>XNYS</v>
    <v>Shell Centre, 2 York Road, LONDON, SE1 7NA GB</v>
    <v>105.67</v>
    <v>Oil &amp; Gas</v>
    <v>Stock</v>
    <v>46323.66406958281</v>
    <v>48</v>
    <v>104.83499999999999</v>
    <v>301274187800</v>
    <v>SHELL PLC</v>
    <v>SHELL PLC</v>
    <v>105.04</v>
    <v>11.6548</v>
    <v>104.78</v>
    <v>105.64</v>
    <v>2851895000</v>
    <v>SHEL</v>
    <v>SHELL PLC (XNYS:SHEL)</v>
    <v>1130360</v>
    <v>6312476</v>
    <v>2002</v>
  </rv>
  <rv s="2">
    <v>49</v>
  </rv>
  <rv s="3">
    <v>5</v>
    <v>SPACE EXPLORATION TECHNOLOGIES CORP. (XNAS:SPCX)</v>
    <v>6</v>
    <v>3</v>
    <v>Finance</v>
    <v>4</v>
    <v>en-GB</v>
    <v>d8uapr</v>
    <v>268435456</v>
    <v>1</v>
    <v>Powered by Refinitiv</v>
    <v>225.64</v>
    <v>104.83</v>
    <v>3.1789999999999998</v>
    <v>-3.76</v>
    <v>-2.5306000000000002E-2</v>
    <v>USD</v>
    <v>Space Exploration Technologies Corp. designs, manufactures, launches, and operates products and services built on technologies, including rockets and spacecraft. The Company's segments include Space, Connectivity, and AI. Its Space segment designs, manufactures, and launches reusable rockets to provide access to space. Its Connectivity segment operates broadband data and communications network powered by approximately 10,200 Starlink broadband and mobile satellites in Low-Earth orbit, delivering connectivity to consumer, enterprises, and government customers over 167 countries, territories, and other markets. In its AI (artificial intelligence) segment, it operates a vertically integrated AI platform spanning its truth-seeking frontier model Grok, AI solutions for consumer and enterprise customers, X-its real-time information, entertainment, and free-speech platform and AI computational infrastructure.</v>
    <v>22621</v>
    <v>Nasdaq Stock Market</v>
    <v>XNAS</v>
    <v>XNAS</v>
    <v>1 Rocket Road, Starbase, TX, 78521 US</v>
    <v>147.57</v>
    <v>Telecommunications Services</v>
    <v>Stock</v>
    <v>46323.664085080469</v>
    <v>142.13</v>
    <v>1966809109200</v>
    <v>SPACE EXPLORATION TECHNOLOGIES CORP.</v>
    <v>SPACE EXPLORATION TECHNOLOGIES CORP.</v>
    <v>147.29</v>
    <v>0</v>
    <v>148.58000000000001</v>
    <v>144.82</v>
    <v>13581060000</v>
    <v>SPCX</v>
    <v>SPACE EXPLORATION TECHNOLOGIES CORP. (XNAS:SPCX)</v>
    <v>54014374</v>
    <v>96753695</v>
    <v>2024</v>
  </rv>
  <rv s="2">
    <v>51</v>
  </rv>
  <rv s="7">
    <fb>45958</fb>
    <v>12</v>
  </rv>
  <rv s="7">
    <fb>268.43</fb>
    <v>13</v>
  </rv>
  <rv s="7">
    <fb>134.80000000000001</fb>
    <v>13</v>
  </rv>
  <rv s="7">
    <fb>190.57</fb>
    <v>13</v>
  </rv>
  <rv s="7">
    <fb>70.040000000000006</fb>
    <v>13</v>
  </rv>
  <rv s="7">
    <fb>70.16</fb>
    <v>13</v>
  </rv>
  <rv s="7">
    <fb>8.24</fb>
    <v>13</v>
  </rv>
  <rv s="7">
    <fb>103.17</fb>
    <v>13</v>
  </rv>
  <rv s="7">
    <fb>542.07000000000005</fb>
    <v>13</v>
  </rv>
  <rv s="7">
    <fb>269</fb>
    <v>13</v>
  </rv>
  <rv s="7">
    <fb>372.97</fb>
    <v>13</v>
  </rv>
  <rv s="7">
    <fb>68.650000000000006</fb>
    <v>13</v>
  </rv>
  <rv s="7">
    <fb>924.16</fb>
    <v>13</v>
  </rv>
  <rv s="7">
    <fb>229.25</fb>
    <v>13</v>
  </rv>
  <rv s="7">
    <fb>86.79</fb>
    <v>13</v>
  </rv>
  <rv s="7">
    <fb>154.13</fb>
    <v>13</v>
  </rv>
  <rv s="7">
    <fb>75.069999999999993</fb>
    <v>13</v>
  </rv>
  <rv s="7">
    <fb>45959</fb>
    <v>12</v>
  </rv>
  <rv s="7">
    <fb>275.17</fb>
    <v>13</v>
  </rv>
  <rv s="7">
    <fb>139.93</fb>
    <v>13</v>
  </rv>
  <rv s="7">
    <fb>199.27</fb>
    <v>13</v>
  </rv>
  <rv s="7">
    <fb>70.489999999999995</fb>
    <v>13</v>
  </rv>
  <rv s="7">
    <fb>68.349999999999994</fb>
    <v>13</v>
  </rv>
  <rv s="7">
    <fb>8.6</fb>
    <v>13</v>
  </rv>
  <rv s="7">
    <fb>102.46</fb>
    <v>13</v>
  </rv>
  <rv s="7">
    <fb>541.54999999999995</fb>
    <v>13</v>
  </rv>
  <rv s="7">
    <fb>269.7</fb>
    <v>13</v>
  </rv>
  <rv s="7">
    <fb>385.98</fb>
    <v>13</v>
  </rv>
  <rv s="7">
    <fb>69.19</fb>
    <v>13</v>
  </rv>
  <rv s="7">
    <fb>912.42</fb>
    <v>13</v>
  </rv>
  <rv s="7">
    <fb>230.3</fb>
    <v>13</v>
  </rv>
  <rv s="7">
    <fb>88.08</fb>
    <v>13</v>
  </rv>
  <rv s="7">
    <fb>155.1</fb>
    <v>13</v>
  </rv>
  <rv s="7">
    <fb>75.55</fb>
    <v>13</v>
  </rv>
  <rv s="7">
    <fb>45960</fb>
    <v>12</v>
  </rv>
  <rv s="7">
    <fb>281.89999999999998</fb>
    <v>13</v>
  </rv>
  <rv s="7">
    <fb>131.06</fb>
    <v>13</v>
  </rv>
  <rv s="7">
    <fb>193.76</fb>
    <v>13</v>
  </rv>
  <rv s="7">
    <fb>70.37</fb>
    <v>13</v>
  </rv>
  <rv s="7">
    <fb>68.98</fb>
    <v>13</v>
  </rv>
  <rv s="7">
    <fb>8.2100000000000009</fb>
    <v>13</v>
  </rv>
  <rv s="7">
    <fb>102.23</fb>
    <v>13</v>
  </rv>
  <rv s="7">
    <fb>525.76</fb>
    <v>13</v>
  </rv>
  <rv s="7">
    <fb>271.39999999999998</fb>
    <v>13</v>
  </rv>
  <rv s="7">
    <fb>376.47</fb>
    <v>13</v>
  </rv>
  <rv s="7">
    <fb>68.510000000000005</fb>
    <v>13</v>
  </rv>
  <rv s="7">
    <fb>920.18</fb>
    <v>13</v>
  </rv>
  <rv s="7">
    <fb>222.86</fb>
    <v>13</v>
  </rv>
  <rv s="7">
    <fb>88.14</fb>
    <v>13</v>
  </rv>
  <rv s="7">
    <fb>153.52000000000001</fb>
    <v>13</v>
  </rv>
  <rv s="7">
    <fb>74.73</fb>
    <v>13</v>
  </rv>
  <rv s="7">
    <fb>45961</fb>
    <v>12</v>
  </rv>
  <rv s="7">
    <fb>281.82</fb>
    <v>13</v>
  </rv>
  <rv s="7">
    <fb>133.71</fb>
    <v>13</v>
  </rv>
  <rv s="7">
    <fb>192.86</fb>
    <v>13</v>
  </rv>
  <rv s="7">
    <fb>70.069999999999993</fb>
    <v>13</v>
  </rv>
  <rv s="7">
    <fb>68.900000000000006</fb>
    <v>13</v>
  </rv>
  <rv s="7">
    <fb>101.18</fb>
    <v>13</v>
  </rv>
  <rv s="7">
    <fb>517.80999999999995</fb>
    <v>13</v>
  </rv>
  <rv s="7">
    <fb>270.37</fb>
    <v>13</v>
  </rv>
  <rv s="7">
    <fb>369.63</fb>
    <v>13</v>
  </rv>
  <rv s="7">
    <fb>70.36</fb>
    <v>13</v>
  </rv>
  <rv s="7">
    <fb>911.45</fb>
    <v>13</v>
  </rv>
  <rv s="7">
    <fb>244.22</fb>
    <v>13</v>
  </rv>
  <rv s="7">
    <fb>88.86</fb>
    <v>13</v>
  </rv>
  <rv s="7">
    <fb>157.72</fb>
    <v>13</v>
  </rv>
  <rv s="7">
    <fb>74.92</fb>
    <v>13</v>
  </rv>
  <rv s="7">
    <fb>45964</fb>
    <v>12</v>
  </rv>
  <rv s="7">
    <fb>284.12</fb>
    <v>13</v>
  </rv>
  <rv s="7">
    <fb>126.32</fb>
    <v>13</v>
  </rv>
  <rv s="7">
    <fb>191.4</fb>
    <v>13</v>
  </rv>
  <rv s="7">
    <fb>70.459999999999994</fb>
    <v>13</v>
  </rv>
  <rv s="7">
    <fb>67.97</fb>
    <v>13</v>
  </rv>
  <rv s="7">
    <fb>8.91</fb>
    <v>13</v>
  </rv>
  <rv s="7">
    <fb>101.59</fb>
    <v>13</v>
  </rv>
  <rv s="7">
    <fb>517.03</fb>
    <v>13</v>
  </rv>
  <rv s="7">
    <fb>269.05</fb>
    <v>13</v>
  </rv>
  <rv s="7">
    <fb>362.55</fb>
    <v>13</v>
  </rv>
  <rv s="7">
    <fb>73.08</fb>
    <v>13</v>
  </rv>
  <rv s="7">
    <fb>928.04</fb>
    <v>13</v>
  </rv>
  <rv s="7">
    <fb>254</fb>
    <v>13</v>
  </rv>
  <rv s="7">
    <fb>88.57</fb>
    <v>13</v>
  </rv>
  <rv s="7">
    <fb>154.04</fb>
    <v>13</v>
  </rv>
  <rv s="7">
    <fb>74.39</fb>
    <v>13</v>
  </rv>
  <rv s="7">
    <fb>45965</fb>
    <v>12</v>
  </rv>
  <rv s="7">
    <fb>278.06</fb>
    <v>13</v>
  </rv>
  <rv s="7">
    <fb>115.75</fb>
    <v>13</v>
  </rv>
  <rv s="7">
    <fb>180.82</fb>
    <v>13</v>
  </rv>
  <rv s="7">
    <fb>69.849999999999994</fb>
    <v>13</v>
  </rv>
  <rv s="7">
    <fb>68.66</fb>
    <v>13</v>
  </rv>
  <rv s="7">
    <fb>8.52</fb>
    <v>13</v>
  </rv>
  <rv s="7">
    <fb>102.27</fb>
    <v>13</v>
  </rv>
  <rv s="7">
    <fb>514.33000000000004</fb>
    <v>13</v>
  </rv>
  <rv s="7">
    <fb>270.04000000000002</fb>
    <v>13</v>
  </rv>
  <rv s="7">
    <fb>351.94</fb>
    <v>13</v>
  </rv>
  <rv s="7">
    <fb>70.69</fb>
    <v>13</v>
  </rv>
  <rv s="7">
    <fb>940.74</fb>
    <v>13</v>
  </rv>
  <rv s="7">
    <fb>249.32</fb>
    <v>13</v>
  </rv>
  <rv s="7">
    <fb>87.91</fb>
    <v>13</v>
  </rv>
  <rv s="7">
    <fb>153.38999999999999</fb>
    <v>13</v>
  </rv>
  <rv s="7">
    <fb>73.739999999999995</fb>
    <v>13</v>
  </rv>
  <rv s="7">
    <fb>45966</fb>
    <v>12</v>
  </rv>
  <rv s="7">
    <fb>284.75</fb>
    <v>13</v>
  </rv>
  <rv s="7">
    <fb>114.42</fb>
    <v>13</v>
  </rv>
  <rv s="7">
    <fb>190.71</fb>
    <v>13</v>
  </rv>
  <rv s="7">
    <fb>70.92</fb>
    <v>13</v>
  </rv>
  <rv s="7">
    <fb>8.5299999999999994</fb>
    <v>13</v>
  </rv>
  <rv s="7">
    <fb>101.47</fb>
    <v>13</v>
  </rv>
  <rv s="7">
    <fb>507.16</fb>
    <v>13</v>
  </rv>
  <rv s="7">
    <fb>270.14</fb>
    <v>13</v>
  </rv>
  <rv s="7">
    <fb>358.98</fb>
    <v>13</v>
  </rv>
  <rv s="7">
    <fb>71.62</fb>
    <v>13</v>
  </rv>
  <rv s="7">
    <fb>935.03</fb>
    <v>13</v>
  </rv>
  <rv s="7">
    <fb>250.2</fb>
    <v>13</v>
  </rv>
  <rv s="7">
    <fb>87.7</fb>
    <v>13</v>
  </rv>
  <rv s="7">
    <fb>152.66</fb>
    <v>13</v>
  </rv>
  <rv s="7">
    <fb>74.61</fb>
    <v>13</v>
  </rv>
  <rv s="7">
    <fb>45967</fb>
    <v>12</v>
  </rv>
  <rv s="7">
    <fb>285.33999999999997</fb>
    <v>13</v>
  </rv>
  <rv s="7">
    <fb>106.93</fb>
    <v>13</v>
  </rv>
  <rv s="7">
    <fb>183.02</fb>
    <v>13</v>
  </rv>
  <rv s="7">
    <fb>72.010000000000005</fb>
    <v>13</v>
  </rv>
  <rv s="7">
    <fb>69.06</fb>
    <v>13</v>
  </rv>
  <rv s="7">
    <fb>8</fb>
    <v>13</v>
  </rv>
  <rv s="7">
    <fb>101.68</fb>
    <v>13</v>
  </rv>
  <rv s="7">
    <fb>497.1</fb>
    <v>13</v>
  </rv>
  <rv s="7">
    <fb>269.77</fb>
    <v>13</v>
  </rv>
  <rv s="7">
    <fb>355.59</fb>
    <v>13</v>
  </rv>
  <rv s="7">
    <fb>69.86</fb>
    <v>13</v>
  </rv>
  <rv s="7">
    <fb>923.58</fb>
    <v>13</v>
  </rv>
  <rv s="7">
    <fb>243.04</fb>
    <v>13</v>
  </rv>
  <rv s="7">
    <fb>85.66</fb>
    <v>13</v>
  </rv>
  <rv s="7">
    <fb>152.94</fb>
    <v>13</v>
  </rv>
  <rv s="7">
    <fb>74.22</fb>
    <v>13</v>
  </rv>
  <rv s="7">
    <fb>45968</fb>
    <v>12</v>
  </rv>
  <rv s="7">
    <fb>279.7</fb>
    <v>13</v>
  </rv>
  <rv s="7">
    <fb>104.01</fb>
    <v>13</v>
  </rv>
  <rv s="7">
    <fb>179.8</fb>
    <v>13</v>
  </rv>
  <rv s="7">
    <fb>71.27</fb>
    <v>13</v>
  </rv>
  <rv s="7">
    <fb>70.55</fb>
    <v>13</v>
  </rv>
  <rv s="7">
    <fb>7.8</fb>
    <v>13</v>
  </rv>
  <rv s="7">
    <fb>102.59</fb>
    <v>13</v>
  </rv>
  <rv s="7">
    <fb>496.82</fb>
    <v>13</v>
  </rv>
  <rv s="7">
    <fb>268.47000000000003</fb>
    <v>13</v>
  </rv>
  <rv s="7">
    <fb>349.43</fb>
    <v>13</v>
  </rv>
  <rv s="7">
    <fb>70.540000000000006</fb>
    <v>13</v>
  </rv>
  <rv s="7">
    <fb>922.74</fb>
    <v>13</v>
  </rv>
  <rv s="7">
    <fb>244.41</fb>
    <v>13</v>
  </rv>
  <rv s="7">
    <fb>86.83</fb>
    <v>13</v>
  </rv>
  <rv s="7">
    <fb>155.02000000000001</fb>
    <v>13</v>
  </rv>
  <rv s="7">
    <fb>75.59</fb>
    <v>13</v>
  </rv>
  <rv s="7">
    <fb>45971</fb>
    <v>12</v>
  </rv>
  <rv s="7">
    <fb>290.58999999999997</fb>
    <v>13</v>
  </rv>
  <rv s="7">
    <fb>105.61</fb>
    <v>13</v>
  </rv>
  <rv s="7">
    <fb>187.84</fb>
    <v>13</v>
  </rv>
  <rv s="7">
    <fb>72.040000000000006</fb>
    <v>13</v>
  </rv>
  <rv s="7">
    <fb>70.52</fb>
    <v>13</v>
  </rv>
  <rv s="7">
    <fb>8.25</fb>
    <v>13</v>
  </rv>
  <rv s="7">
    <fb>102.42</fb>
    <v>13</v>
  </rv>
  <rv s="7">
    <fb>506</fb>
    <v>13</v>
  </rv>
  <rv s="7">
    <fb>269.43</fb>
    <v>13</v>
  </rv>
  <rv s="7">
    <fb>358.39</fb>
    <v>13</v>
  </rv>
  <rv s="7">
    <fb>71.13</fb>
    <v>13</v>
  </rv>
  <rv s="7">
    <fb>915.56</fb>
    <v>13</v>
  </rv>
  <rv s="7">
    <fb>248.4</fb>
    <v>13</v>
  </rv>
  <rv s="7">
    <fb>88.23</fb>
    <v>13</v>
  </rv>
  <rv s="7">
    <fb>155.65</fb>
    <v>13</v>
  </rv>
  <rv s="7">
    <fb>76.56</fb>
    <v>13</v>
  </rv>
  <rv s="7">
    <fb>45972</fb>
    <v>12</v>
  </rv>
  <rv s="7">
    <fb>291.74</fb>
    <v>13</v>
  </rv>
  <rv s="7">
    <fb>88.39</fb>
    <v>13</v>
  </rv>
  <rv s="7">
    <fb>179.05</fb>
    <v>13</v>
  </rv>
  <rv s="7">
    <fb>72.53</fb>
    <v>13</v>
  </rv>
  <rv s="7">
    <fb>71.61</fb>
    <v>13</v>
  </rv>
  <rv s="7">
    <fb>8.1999999999999993</fb>
    <v>13</v>
  </rv>
  <rv s="7">
    <fb>103.44</fb>
    <v>13</v>
  </rv>
  <rv s="7">
    <fb>508.68</fb>
    <v>13</v>
  </rv>
  <rv s="7">
    <fb>275.25</fb>
    <v>13</v>
  </rv>
  <rv s="7">
    <fb>351.96</fb>
    <v>13</v>
  </rv>
  <rv s="7">
    <fb>70.87</fb>
    <v>13</v>
  </rv>
  <rv s="7">
    <fb>913.86</fb>
    <v>13</v>
  </rv>
  <rv s="7">
    <fb>249.1</fb>
    <v>13</v>
  </rv>
  <rv s="7">
    <fb>90.69</fb>
    <v>13</v>
  </rv>
  <rv s="7">
    <fb>156.24</fb>
    <v>13</v>
  </rv>
  <rv s="7">
    <fb>77.010000000000005</fb>
    <v>13</v>
  </rv>
  <rv s="7">
    <fb>45973</fb>
    <v>12</v>
  </rv>
  <rv s="7">
    <fb>287.43</fb>
    <v>13</v>
  </rv>
  <rv s="7">
    <fb>85.43</fb>
    <v>13</v>
  </rv>
  <rv s="7">
    <fb>173.37</fb>
    <v>13</v>
  </rv>
  <rv s="7">
    <fb>73.489999999999995</fb>
    <v>13</v>
  </rv>
  <rv s="7">
    <fb>71.510000000000005</fb>
    <v>13</v>
  </rv>
  <rv s="7">
    <fb>511.14</fb>
    <v>13</v>
  </rv>
  <rv s="7">
    <fb>273.47000000000003</fb>
    <v>13</v>
  </rv>
  <rv s="7">
    <fb>355.22</fb>
    <v>13</v>
  </rv>
  <rv s="7">
    <fb>72.7</fb>
    <v>13</v>
  </rv>
  <rv s="7">
    <fb>914</fb>
    <v>13</v>
  </rv>
  <rv s="7">
    <fb>244.2</fb>
    <v>13</v>
  </rv>
  <rv s="7">
    <fb>89.07</fb>
    <v>13</v>
  </rv>
  <rv s="7">
    <fb>153.32</fb>
    <v>13</v>
  </rv>
  <rv s="7">
    <fb>76.41</fb>
    <v>13</v>
  </rv>
  <rv s="7">
    <fb>45974</fb>
    <v>12</v>
  </rv>
  <rv s="7">
    <fb>279.12</fb>
    <v>13</v>
  </rv>
  <rv s="7">
    <fb>78.34</fb>
    <v>13</v>
  </rv>
  <rv s="7">
    <fb>163.63999999999999</fb>
    <v>13</v>
  </rv>
  <rv s="7">
    <fb>73.16</fb>
    <v>13</v>
  </rv>
  <rv s="7">
    <fb>71.069999999999993</fb>
    <v>13</v>
  </rv>
  <rv s="7">
    <fb>8.17</fb>
    <v>13</v>
  </rv>
  <rv s="7">
    <fb>102.54</fb>
    <v>13</v>
  </rv>
  <rv s="7">
    <fb>503.29</fb>
    <v>13</v>
  </rv>
  <rv s="7">
    <fb>272.95</fb>
    <v>13</v>
  </rv>
  <rv s="7">
    <fb>339.98</fb>
    <v>13</v>
  </rv>
  <rv s="7">
    <fb>67.040000000000006</fb>
    <v>13</v>
  </rv>
  <rv s="7">
    <fb>925.08</fb>
    <v>13</v>
  </rv>
  <rv s="7">
    <fb>237.58</fb>
    <v>13</v>
  </rv>
  <rv s="7">
    <fb>89.42</fb>
    <v>13</v>
  </rv>
  <rv s="7">
    <fb>155.58000000000001</fb>
    <v>13</v>
  </rv>
  <rv s="7">
    <fb>75.92</fb>
    <v>13</v>
  </rv>
  <rv s="7">
    <fb>45975</fb>
    <v>12</v>
  </rv>
  <rv s="7">
    <fb>276.98</fb>
    <v>13</v>
  </rv>
  <rv s="7">
    <fb>77.36</fb>
    <v>13</v>
  </rv>
  <rv s="7">
    <fb>170.97</fb>
    <v>13</v>
  </rv>
  <rv s="7">
    <fb>72.56</fb>
    <v>13</v>
  </rv>
  <rv s="7">
    <fb>71.16</fb>
    <v>13</v>
  </rv>
  <rv s="7">
    <fb>7.98</fb>
    <v>13</v>
  </rv>
  <rv s="7">
    <fb>102.48</fb>
    <v>13</v>
  </rv>
  <rv s="7">
    <fb>510.18</fb>
    <v>13</v>
  </rv>
  <rv s="7">
    <fb>272.41000000000003</fb>
    <v>13</v>
  </rv>
  <rv s="7">
    <fb>342.46</fb>
    <v>13</v>
  </rv>
  <rv s="7">
    <fb>66.03</fb>
    <v>13</v>
  </rv>
  <rv s="7">
    <fb>922.98</fb>
    <v>13</v>
  </rv>
  <rv s="7">
    <fb>234.69</fb>
    <v>13</v>
  </rv>
  <rv s="7">
    <fb>91.37</fb>
    <v>13</v>
  </rv>
  <rv s="7">
    <fb>157.62</fb>
    <v>13</v>
  </rv>
  <rv s="7">
    <fb>75.760000000000005</fb>
    <v>13</v>
  </rv>
  <rv s="7">
    <fb>45978</fb>
    <v>12</v>
  </rv>
  <rv s="7">
    <fb>285.60000000000002</fb>
    <v>13</v>
  </rv>
  <rv s="7">
    <fb>75.33</fb>
    <v>13</v>
  </rv>
  <rv s="7">
    <fb>166.65</fb>
    <v>13</v>
  </rv>
  <rv s="7">
    <fb>71.22</fb>
    <v>13</v>
  </rv>
  <rv s="7">
    <fb>70.680000000000007</fb>
    <v>13</v>
  </rv>
  <rv s="7">
    <fb>7.9</fb>
    <v>13</v>
  </rv>
  <rv s="7">
    <fb>102.95</fb>
    <v>13</v>
  </rv>
  <rv s="7">
    <fb>507.49</fb>
    <v>13</v>
  </rv>
  <rv s="7">
    <fb>267.45999999999998</fb>
    <v>13</v>
  </rv>
  <rv s="7">
    <fb>342.65</fb>
    <v>13</v>
  </rv>
  <rv s="7">
    <fb>63.41</fb>
    <v>13</v>
  </rv>
  <rv s="7">
    <fb>912.59</fb>
    <v>13</v>
  </rv>
  <rv s="7">
    <fb>232.87</fb>
    <v>13</v>
  </rv>
  <rv s="7">
    <fb>88.72</fb>
    <v>13</v>
  </rv>
  <rv s="7">
    <fb>154.82</fb>
    <v>13</v>
  </rv>
  <rv s="7">
    <fb>75.400000000000006</fb>
    <v>13</v>
  </rv>
  <rv s="7">
    <fb>45979</fb>
    <v>12</v>
  </rv>
  <rv s="7">
    <fb>284.95999999999998</fb>
    <v>13</v>
  </rv>
  <rv s="7">
    <fb>74.900000000000006</fb>
    <v>13</v>
  </rv>
  <rv s="7">
    <fb>164.86</fb>
    <v>13</v>
  </rv>
  <rv s="7">
    <fb>69.59</fb>
    <v>13</v>
  </rv>
  <rv s="7">
    <fb>7.69</fb>
    <v>13</v>
  </rv>
  <rv s="7">
    <fb>101.39</fb>
    <v>13</v>
  </rv>
  <rv s="7">
    <fb>493.79</fb>
    <v>13</v>
  </rv>
  <rv s="7">
    <fb>267.44</fb>
    <v>13</v>
  </rv>
  <rv s="7">
    <fb>340.5</fb>
    <v>13</v>
  </rv>
  <rv s="7">
    <fb>63.27</fb>
    <v>13</v>
  </rv>
  <rv s="7">
    <fb>895.08</fb>
    <v>13</v>
  </rv>
  <rv s="7">
    <fb>222.55</fb>
    <v>13</v>
  </rv>
  <rv s="7">
    <fb>89.68</fb>
    <v>13</v>
  </rv>
  <rv s="7">
    <fb>153.62</fb>
    <v>13</v>
  </rv>
  <rv s="7">
    <fb>75.31</fb>
    <v>13</v>
  </rv>
  <rv s="7">
    <fb>45980</fb>
    <v>12</v>
  </rv>
  <rv s="7">
    <fb>292.99</fb>
    <v>13</v>
  </rv>
  <rv s="7">
    <fb>170.65</fb>
    <v>13</v>
  </rv>
  <rv s="7">
    <fb>69.14</fb>
    <v>13</v>
  </rv>
  <rv s="7">
    <fb>71.11</fb>
    <v>13</v>
  </rv>
  <rv s="7">
    <fb>7.75</fb>
    <v>13</v>
  </rv>
  <rv s="7">
    <fb>100.61</fb>
    <v>13</v>
  </rv>
  <rv s="7">
    <fb>487.12</fb>
    <v>13</v>
  </rv>
  <rv s="7">
    <fb>268.56</fb>
    <v>13</v>
  </rv>
  <rv s="7">
    <fb>354.42</fb>
    <v>13</v>
  </rv>
  <rv s="7">
    <fb>64.56</fb>
    <v>13</v>
  </rv>
  <rv s="7">
    <fb>890.6</fb>
    <v>13</v>
  </rv>
  <rv s="7">
    <fb>222.69</fb>
    <v>13</v>
  </rv>
  <rv s="7">
    <fb>87.98</fb>
    <v>13</v>
  </rv>
  <rv s="7">
    <fb>151.69999999999999</fb>
    <v>13</v>
  </rv>
  <rv s="7">
    <fb>73.67</fb>
    <v>13</v>
  </rv>
  <rv s="7">
    <fb>45981</fb>
    <v>12</v>
  </rv>
  <rv s="7">
    <fb>289.98</fb>
    <v>13</v>
  </rv>
  <rv s="7">
    <fb>69.209999999999994</fb>
    <v>13</v>
  </rv>
  <rv s="7">
    <fb>159.61000000000001</fb>
    <v>13</v>
  </rv>
  <rv s="7">
    <fb>67.56</fb>
    <v>13</v>
  </rv>
  <rv s="7">
    <fb>71.209999999999994</fb>
    <v>13</v>
  </rv>
  <rv s="7">
    <fb>8.14</fb>
    <v>13</v>
  </rv>
  <rv s="7">
    <fb>107.11</fb>
    <v>13</v>
  </rv>
  <rv s="7">
    <fb>478.43</fb>
    <v>13</v>
  </rv>
  <rv s="7">
    <fb>266.25</fb>
    <v>13</v>
  </rv>
  <rv s="7">
    <fb>346.82</fb>
    <v>13</v>
  </rv>
  <rv s="7">
    <fb>61.56</fb>
    <v>13</v>
  </rv>
  <rv s="7">
    <fb>893.29</fb>
    <v>13</v>
  </rv>
  <rv s="7">
    <fb>217.14</fb>
    <v>13</v>
  </rv>
  <rv s="7">
    <fb>87.47</fb>
    <v>13</v>
  </rv>
  <rv s="7">
    <fb>150.31</fb>
    <v>13</v>
  </rv>
  <rv s="7">
    <fb>73.209999999999994</fb>
    <v>13</v>
  </rv>
  <rv s="7">
    <fb>45982</fb>
    <v>12</v>
  </rv>
  <rv s="7">
    <fb>299.64999999999998</fb>
    <v>13</v>
  </rv>
  <rv s="7">
    <fb>71.650000000000006</fb>
    <v>13</v>
  </rv>
  <rv s="7">
    <fb>159.83000000000001</fb>
    <v>13</v>
  </rv>
  <rv s="7">
    <fb>68.959999999999994</fb>
    <v>13</v>
  </rv>
  <rv s="7">
    <fb>72.95</fb>
    <v>13</v>
  </rv>
  <rv s="7">
    <fb>7.58</fb>
    <v>13</v>
  </rv>
  <rv s="7">
    <fb>105.32</fb>
    <v>13</v>
  </rv>
  <rv s="7">
    <fb>472.12</fb>
    <v>13</v>
  </rv>
  <rv s="7">
    <fb>271.49</fb>
    <v>13</v>
  </rv>
  <rv s="7">
    <fb>340.2</fb>
    <v>13</v>
  </rv>
  <rv s="7">
    <fb>61.05</fb>
    <v>13</v>
  </rv>
  <rv s="7">
    <fb>899.01</fb>
    <v>13</v>
  </rv>
  <rv s="7">
    <fb>220.69</fb>
    <v>13</v>
  </rv>
  <rv s="7">
    <fb>87.37</fb>
    <v>13</v>
  </rv>
  <rv s="7">
    <fb>149.97999999999999</fb>
    <v>13</v>
  </rv>
  <rv s="7">
    <fb>73.27</fb>
    <v>13</v>
  </rv>
  <rv s="7">
    <fb>45985</fb>
    <v>12</v>
  </rv>
  <rv s="7">
    <fb>318.47000000000003</fb>
    <v>13</v>
  </rv>
  <rv s="7">
    <fb>73.599999999999994</fb>
    <v>13</v>
  </rv>
  <rv s="7">
    <fb>168.91</fb>
    <v>13</v>
  </rv>
  <rv s="7">
    <fb>68.95</fb>
    <v>13</v>
  </rv>
  <rv s="7">
    <fb>72.59</fb>
    <v>13</v>
  </rv>
  <rv s="7">
    <fb>104.06</fb>
    <v>13</v>
  </rv>
  <rv s="7">
    <fb>474</fb>
    <v>13</v>
  </rv>
  <rv s="7">
    <fb>275.92</fb>
    <v>13</v>
  </rv>
  <rv s="7">
    <fb>377.96</fb>
    <v>13</v>
  </rv>
  <rv s="7">
    <fb>62.43</fb>
    <v>13</v>
  </rv>
  <rv s="7">
    <fb>886.12</fb>
    <v>13</v>
  </rv>
  <rv s="7">
    <fb>226.28</fb>
    <v>13</v>
  </rv>
  <rv s="7">
    <fb>87.56</fb>
    <v>13</v>
  </rv>
  <rv s="7">
    <fb>149.75</fb>
    <v>13</v>
  </rv>
  <rv s="7">
    <fb>73.23</fb>
    <v>13</v>
  </rv>
  <rv s="7">
    <fb>45986</fb>
    <v>12</v>
  </rv>
  <rv s="7">
    <fb>323.64</fb>
    <v>13</v>
  </rv>
  <rv s="7">
    <fb>71.290000000000006</fb>
    <v>13</v>
  </rv>
  <rv s="7">
    <fb>169.57</fb>
    <v>13</v>
  </rv>
  <rv s="7">
    <fb>69.510000000000005</fb>
    <v>13</v>
  </rv>
  <rv s="7">
    <fb>72.61</fb>
    <v>13</v>
  </rv>
  <rv s="7">
    <fb>7.34</fb>
    <v>13</v>
  </rv>
  <rv s="7">
    <fb>107</fb>
    <v>13</v>
  </rv>
  <rv s="7">
    <fb>476.99</fb>
    <v>13</v>
  </rv>
  <rv s="7">
    <fb>276.97000000000003</fb>
    <v>13</v>
  </rv>
  <rv s="7">
    <fb>385.03</fb>
    <v>13</v>
  </rv>
  <rv s="7">
    <fb>63.17</fb>
    <v>13</v>
  </rv>
  <rv s="7">
    <fb>894.33</fb>
    <v>13</v>
  </rv>
  <rv s="7">
    <fb>229.67</fb>
    <v>13</v>
  </rv>
  <rv s="7">
    <fb>86.62</fb>
    <v>13</v>
  </rv>
  <rv s="7">
    <fb>148.53</fb>
    <v>13</v>
  </rv>
  <rv s="7">
    <fb>72.8</fb>
    <v>13</v>
  </rv>
  <rv s="7">
    <fb>45987</fb>
    <v>12</v>
  </rv>
  <rv s="7">
    <fb>320.27999999999997</fb>
    <v>13</v>
  </rv>
  <rv s="7">
    <fb>74.290000000000006</fb>
    <v>13</v>
  </rv>
  <rv s="7">
    <fb>172.02</fb>
    <v>13</v>
  </rv>
  <rv s="7">
    <fb>70.58</fb>
    <v>13</v>
  </rv>
  <rv s="7">
    <fb>72.88</fb>
    <v>13</v>
  </rv>
  <rv s="7">
    <fb>7.57</fb>
    <v>13</v>
  </rv>
  <rv s="7">
    <fb>109.1</fb>
    <v>13</v>
  </rv>
  <rv s="7">
    <fb>485.5</fb>
    <v>13</v>
  </rv>
  <rv s="7">
    <fb>277.55</fb>
    <v>13</v>
  </rv>
  <rv s="7">
    <fb>397.57</fb>
    <v>13</v>
  </rv>
  <rv s="7">
    <fb>64.19</fb>
    <v>13</v>
  </rv>
  <rv s="7">
    <fb>908.26</fb>
    <v>13</v>
  </rv>
  <rv s="7">
    <fb>229.16</fb>
    <v>13</v>
  </rv>
  <rv s="7">
    <fb>87.09</fb>
    <v>13</v>
  </rv>
  <rv s="7">
    <fb>149.51</fb>
    <v>13</v>
  </rv>
  <rv s="7">
    <fb>73.41</fb>
    <v>13</v>
  </rv>
  <rv s="7">
    <fb>45989</fb>
    <v>12</v>
  </rv>
  <rv s="7">
    <fb>320.12</fb>
    <v>13</v>
  </rv>
  <rv s="7">
    <fb>73.12</fb>
    <v>13</v>
  </rv>
  <rv s="7">
    <fb>179.73</fb>
    <v>13</v>
  </rv>
  <rv s="7">
    <fb>7.5</fb>
    <v>13</v>
  </rv>
  <rv s="7">
    <fb>110.51</fb>
    <v>13</v>
  </rv>
  <rv s="7">
    <fb>492.01</fb>
    <v>13</v>
  </rv>
  <rv s="7">
    <fb>278.85000000000002</fb>
    <v>13</v>
  </rv>
  <rv s="7">
    <fb>402.96</fb>
    <v>13</v>
  </rv>
  <rv s="7">
    <fb>65.02</fb>
    <v>13</v>
  </rv>
  <rv s="7">
    <fb>913.59</fb>
    <v>13</v>
  </rv>
  <rv s="7">
    <fb>233.22</fb>
    <v>13</v>
  </rv>
  <rv s="7">
    <fb>88.69</fb>
    <v>13</v>
  </rv>
  <rv s="7">
    <fb>151.13</fb>
    <v>13</v>
  </rv>
  <rv s="7">
    <fb>73.77</fb>
    <v>13</v>
  </rv>
  <rv s="7">
    <fb>45992</fb>
    <v>12</v>
  </rv>
  <rv s="7">
    <fb>315.12</fb>
    <v>13</v>
  </rv>
  <rv s="7">
    <fb>77.06</fb>
    <v>13</v>
  </rv>
  <rv s="7">
    <fb>179.22</fb>
    <v>13</v>
  </rv>
  <rv s="7">
    <fb>71.36</fb>
    <v>13</v>
  </rv>
  <rv s="7">
    <fb>71.95</fb>
    <v>13</v>
  </rv>
  <rv s="7">
    <fb>7.52</fb>
    <v>13</v>
  </rv>
  <rv s="7">
    <fb>111.53</fb>
    <v>13</v>
  </rv>
  <rv s="7">
    <fb>486.74</fb>
    <v>13</v>
  </rv>
  <rv s="7">
    <fb>283.10000000000002</fb>
    <v>13</v>
  </rv>
  <rv s="7">
    <fb>386.08</fb>
    <v>13</v>
  </rv>
  <rv s="7">
    <fb>63.54</fb>
    <v>13</v>
  </rv>
  <rv s="7">
    <fb>911.96</fb>
    <v>13</v>
  </rv>
  <rv s="7">
    <fb>233.88</fb>
    <v>13</v>
  </rv>
  <rv s="7">
    <fb>90.26</fb>
    <v>13</v>
  </rv>
  <rv s="7">
    <fb>152.54</fb>
    <v>13</v>
  </rv>
  <rv s="7">
    <fb>74.31</fb>
    <v>13</v>
  </rv>
  <rv s="7">
    <fb>45993</fb>
    <v>12</v>
  </rv>
  <rv s="7">
    <fb>316.02</fb>
    <v>13</v>
  </rv>
  <rv s="7">
    <fb>76.03</fb>
    <v>13</v>
  </rv>
  <rv s="7">
    <fb>180.91</fb>
    <v>13</v>
  </rv>
  <rv s="7">
    <fb>72</fb>
    <v>13</v>
  </rv>
  <rv s="7">
    <fb>70.67</fb>
    <v>13</v>
  </rv>
  <rv s="7">
    <fb>7.62</fb>
    <v>13</v>
  </rv>
  <rv s="7">
    <fb>112.41</fb>
    <v>13</v>
  </rv>
  <rv s="7">
    <fb>490</fb>
    <v>13</v>
  </rv>
  <rv s="7">
    <fb>286.19</fb>
    <v>13</v>
  </rv>
  <rv s="7">
    <fb>381.57</fb>
    <v>13</v>
  </rv>
  <rv s="7">
    <fb>63.59</fb>
    <v>13</v>
  </rv>
  <rv s="7">
    <fb>922.03</fb>
    <v>13</v>
  </rv>
  <rv s="7">
    <fb>234.42</fb>
    <v>13</v>
  </rv>
  <rv s="7">
    <fb>89.29</fb>
    <v>13</v>
  </rv>
  <rv s="7">
    <fb>150.25</fb>
    <v>13</v>
  </rv>
  <rv s="7">
    <fb>73.959999999999994</fb>
    <v>13</v>
  </rv>
  <rv s="7">
    <fb>45994</fb>
    <v>12</v>
  </rv>
  <rv s="7">
    <fb>320.62</fb>
    <v>13</v>
  </rv>
  <rv s="7">
    <fb>79.36</fb>
    <v>13</v>
  </rv>
  <rv s="7">
    <fb>178.88</fb>
    <v>13</v>
  </rv>
  <rv s="7">
    <fb>70.81</fb>
    <v>13</v>
  </rv>
  <rv s="7">
    <fb>114.41</fb>
    <v>13</v>
  </rv>
  <rv s="7">
    <fb>477.73</fb>
    <v>13</v>
  </rv>
  <rv s="7">
    <fb>284.14999999999998</fb>
    <v>13</v>
  </rv>
  <rv s="7">
    <fb>380.61</fb>
    <v>13</v>
  </rv>
  <rv s="7">
    <fb>64.959999999999994</fb>
    <v>13</v>
  </rv>
  <rv s="7">
    <fb>922.26</fb>
    <v>13</v>
  </rv>
  <rv s="7">
    <fb>232.38</fb>
    <v>13</v>
  </rv>
  <rv s="7">
    <fb>91.81</fb>
    <v>13</v>
  </rv>
  <rv s="7">
    <fb>151.59</fb>
    <v>13</v>
  </rv>
  <rv s="7">
    <fb>75.12</fb>
    <v>13</v>
  </rv>
  <rv s="7">
    <fb>45995</fb>
    <v>12</v>
  </rv>
  <rv s="7">
    <fb>318.39</fb>
    <v>13</v>
  </rv>
  <rv s="7">
    <fb>85.75</fb>
    <v>13</v>
  </rv>
  <rv s="7">
    <fb>182.54</fb>
    <v>13</v>
  </rv>
  <rv s="7">
    <fb>71.709999999999994</fb>
    <v>13</v>
  </rv>
  <rv s="7">
    <fb>70.45</fb>
    <v>13</v>
  </rv>
  <rv s="7">
    <fb>7.64</fb>
    <v>13</v>
  </rv>
  <rv s="7">
    <fb>114.84</fb>
    <v>13</v>
  </rv>
  <rv s="7">
    <fb>480.84</fb>
    <v>13</v>
  </rv>
  <rv s="7">
    <fb>280.7</fb>
    <v>13</v>
  </rv>
  <rv s="7">
    <fb>381.03</fb>
    <v>13</v>
  </rv>
  <rv s="7">
    <fb>65.95</fb>
    <v>13</v>
  </rv>
  <rv s="7">
    <fb>895.85500000000002</fb>
    <v>13</v>
  </rv>
  <rv s="7">
    <fb>229.11</fb>
    <v>13</v>
  </rv>
  <rv s="7">
    <fb>93.12</fb>
    <v>13</v>
  </rv>
  <rv s="7">
    <fb>152.26</fb>
    <v>13</v>
  </rv>
  <rv s="7">
    <fb>74.5</fb>
    <v>13</v>
  </rv>
  <rv s="7">
    <fb>45996</fb>
    <v>12</v>
  </rv>
  <rv s="7">
    <fb>322.08999999999997</fb>
    <v>13</v>
  </rv>
  <rv s="7">
    <fb>88.3</fb>
    <v>13</v>
  </rv>
  <rv s="7">
    <fb>189.02</fb>
    <v>13</v>
  </rv>
  <rv s="7">
    <fb>71</fb>
    <v>13</v>
  </rv>
  <rv s="7">
    <fb>70</fb>
    <v>13</v>
  </rv>
  <rv s="7">
    <fb>7.65</fb>
    <v>13</v>
  </rv>
  <rv s="7">
    <fb>115.11</fb>
    <v>13</v>
  </rv>
  <rv s="7">
    <fb>483.16</fb>
    <v>13</v>
  </rv>
  <rv s="7">
    <fb>278.77999999999997</fb>
    <v>13</v>
  </rv>
  <rv s="7">
    <fb>390.24</fb>
    <v>13</v>
  </rv>
  <rv s="7">
    <fb>64.5</fb>
    <v>13</v>
  </rv>
  <rv s="7">
    <fb>894.68</fb>
    <v>13</v>
  </rv>
  <rv s="7">
    <fb>229.53</fb>
    <v>13</v>
  </rv>
  <rv s="7">
    <fb>93.69</fb>
    <v>13</v>
  </rv>
  <rv s="7">
    <fb>150</fb>
    <v>13</v>
  </rv>
  <rv s="7">
    <fb>73.010000000000005</fb>
    <v>13</v>
  </rv>
  <rv s="7">
    <fb>45999</fb>
    <v>12</v>
  </rv>
  <rv s="7">
    <fb>314.45</fb>
    <v>13</v>
  </rv>
  <rv s="7">
    <fb>86.24</fb>
    <v>13</v>
  </rv>
  <rv s="7">
    <fb>185.61</fb>
    <v>13</v>
  </rv>
  <rv s="7">
    <fb>71.02</fb>
    <v>13</v>
  </rv>
  <rv s="7">
    <fb>70.25</fb>
    <v>13</v>
  </rv>
  <rv s="7">
    <fb>113.56</fb>
    <v>13</v>
  </rv>
  <rv s="7">
    <fb>491.02</fb>
    <v>13</v>
  </rv>
  <rv s="7">
    <fb>277.89</fb>
    <v>13</v>
  </rv>
  <rv s="7">
    <fb>401.1</fb>
    <v>13</v>
  </rv>
  <rv s="7">
    <fb>65.81</fb>
    <v>13</v>
  </rv>
  <rv s="7">
    <fb>887.52</fb>
    <v>13</v>
  </rv>
  <rv s="7">
    <fb>226.89</fb>
    <v>13</v>
  </rv>
  <rv s="7">
    <fb>92.88</fb>
    <v>13</v>
  </rv>
  <rv s="7">
    <fb>148.71</fb>
    <v>13</v>
  </rv>
  <rv s="7">
    <fb>46000</fb>
    <v>12</v>
  </rv>
  <rv s="7">
    <fb>317.75</fb>
    <v>13</v>
  </rv>
  <rv s="7">
    <fb>90.66</fb>
    <v>13</v>
  </rv>
  <rv s="7">
    <fb>178.38</fb>
    <v>13</v>
  </rv>
  <rv s="7">
    <fb>70.790000000000006</fb>
    <v>13</v>
  </rv>
  <rv s="7">
    <fb>70.09</fb>
    <v>13</v>
  </rv>
  <rv s="7">
    <fb>115.06</fb>
    <v>13</v>
  </rv>
  <rv s="7">
    <fb>492.02</fb>
    <v>13</v>
  </rv>
  <rv s="7">
    <fb>277.18</fb>
    <v>13</v>
  </rv>
  <rv s="7">
    <fb>406.29</fb>
    <v>13</v>
  </rv>
  <rv s="7">
    <fb>65.56</fb>
    <v>13</v>
  </rv>
  <rv s="7">
    <fb>888.44</fb>
    <v>13</v>
  </rv>
  <rv s="7">
    <fb>227.92</fb>
    <v>13</v>
  </rv>
  <rv s="7">
    <fb>93.43</fb>
    <v>13</v>
  </rv>
  <rv s="7">
    <fb>148.49</fb>
    <v>13</v>
  </rv>
  <rv s="7">
    <fb>72.55</fb>
    <v>13</v>
  </rv>
  <rv s="7">
    <fb>46001</fb>
    <v>12</v>
  </rv>
  <rv s="7">
    <fb>321</fb>
    <v>13</v>
  </rv>
  <rv s="7">
    <fb>88.16</fb>
    <v>13</v>
  </rv>
  <rv s="7">
    <fb>181.82</fb>
    <v>13</v>
  </rv>
  <rv s="7">
    <fb>74.08</fb>
    <v>13</v>
  </rv>
  <rv s="7">
    <fb>70.209999999999994</fb>
    <v>13</v>
  </rv>
  <rv s="7">
    <fb>7.7</fb>
    <v>13</v>
  </rv>
  <rv s="7">
    <fb>113.18</fb>
    <v>13</v>
  </rv>
  <rv s="7">
    <fb>478.56</fb>
    <v>13</v>
  </rv>
  <rv s="7">
    <fb>412.97</fb>
    <v>13</v>
  </rv>
  <rv s="7">
    <fb>66.67</fb>
    <v>13</v>
  </rv>
  <rv s="7">
    <fb>874.41</fb>
    <v>13</v>
  </rv>
  <rv s="7">
    <fb>231.78</fb>
    <v>13</v>
  </rv>
  <rv s="7">
    <fb>96.8</fb>
    <v>13</v>
  </rv>
  <rv s="7">
    <fb>151.41</fb>
    <v>13</v>
  </rv>
  <rv s="7">
    <fb>46002</fb>
    <v>12</v>
  </rv>
  <rv s="7">
    <fb>313.7</fb>
    <v>13</v>
  </rv>
  <rv s="7">
    <fb>87.38</fb>
    <v>13</v>
  </rv>
  <rv s="7">
    <fb>178.66</fb>
    <v>13</v>
  </rv>
  <rv s="7">
    <fb>75.239999999999995</fb>
    <v>13</v>
  </rv>
  <rv s="7">
    <fb>69.11</fb>
    <v>13</v>
  </rv>
  <rv s="7">
    <fb>7.81</fb>
    <v>13</v>
  </rv>
  <rv s="7">
    <fb>115.52</fb>
    <v>13</v>
  </rv>
  <rv s="7">
    <fb>483.47</fb>
    <v>13</v>
  </rv>
  <rv s="7">
    <fb>278.02999999999997</fb>
    <v>13</v>
  </rv>
  <rv s="7">
    <fb>406.37</fb>
    <v>13</v>
  </rv>
  <rv s="7">
    <fb>66.06</fb>
    <v>13</v>
  </rv>
  <rv s="7">
    <fb>884.48</fb>
    <v>13</v>
  </rv>
  <rv s="7">
    <fb>230.28</fb>
    <v>13</v>
  </rv>
  <rv s="7">
    <fb>96.71</fb>
    <v>13</v>
  </rv>
  <rv s="7">
    <fb>150.72</fb>
    <v>13</v>
  </rv>
  <rv s="7">
    <fb>72.86</fb>
    <v>13</v>
  </rv>
  <rv s="7">
    <fb>46003</fb>
    <v>12</v>
  </rv>
  <rv s="7">
    <fb>310.52</fb>
    <v>13</v>
  </rv>
  <rv s="7">
    <fb>78.59</fb>
    <v>13</v>
  </rv>
  <rv s="7">
    <fb>161.27000000000001</fb>
    <v>13</v>
  </rv>
  <rv s="7">
    <fb>74.989999999999995</fb>
    <v>13</v>
  </rv>
  <rv s="7">
    <fb>7.79</fb>
    <v>13</v>
  </rv>
  <rv s="7">
    <fb>116.7</fb>
    <v>13</v>
  </rv>
  <rv s="7">
    <fb>478.53</fb>
    <v>13</v>
  </rv>
  <rv s="7">
    <fb>278.27999999999997</fb>
    <v>13</v>
  </rv>
  <rv s="7">
    <fb>359.93</fb>
    <v>13</v>
  </rv>
  <rv s="7">
    <fb>64.150000000000006</fb>
    <v>13</v>
  </rv>
  <rv s="7">
    <fb>884.47</fb>
    <v>13</v>
  </rv>
  <rv s="7">
    <fb>226.19</fb>
    <v>13</v>
  </rv>
  <rv s="7">
    <fb>95.54</fb>
    <v>13</v>
  </rv>
  <rv s="7">
    <fb>149.99</fb>
    <v>13</v>
  </rv>
  <rv s="7">
    <fb>72.33</fb>
    <v>13</v>
  </rv>
  <rv s="7">
    <fb>46006</fb>
    <v>12</v>
  </rv>
  <rv s="7">
    <fb>309.32</fb>
    <v>13</v>
  </rv>
  <rv s="7">
    <fb>72.349999999999994</fb>
    <v>13</v>
  </rv>
  <rv s="7">
    <fb>161.74</fb>
    <v>13</v>
  </rv>
  <rv s="7">
    <fb>75.28</fb>
    <v>13</v>
  </rv>
  <rv s="7">
    <fb>70.97</fb>
    <v>13</v>
  </rv>
  <rv s="7">
    <fb>7.31</fb>
    <v>13</v>
  </rv>
  <rv s="7">
    <fb>116.79</fb>
    <v>13</v>
  </rv>
  <rv s="7">
    <fb>474.82</fb>
    <v>13</v>
  </rv>
  <rv s="7">
    <fb>274.11</fb>
    <v>13</v>
  </rv>
  <rv s="7">
    <fb>339.81</fb>
    <v>13</v>
  </rv>
  <rv s="7">
    <fb>62.87</fb>
    <v>13</v>
  </rv>
  <rv s="7">
    <fb>860.56</fb>
    <v>13</v>
  </rv>
  <rv s="7">
    <fb>222.54</fb>
    <v>13</v>
  </rv>
  <rv s="7">
    <fb>94.36</fb>
    <v>13</v>
  </rv>
  <rv s="7">
    <fb>149.80000000000001</fb>
    <v>13</v>
  </rv>
  <rv s="7">
    <fb>72.23</fb>
    <v>13</v>
  </rv>
  <rv s="7">
    <fb>46007</fb>
    <v>12</v>
  </rv>
  <rv s="7">
    <fb>307.73</fb>
    <v>13</v>
  </rv>
  <rv s="7">
    <fb>69.5</fb>
    <v>13</v>
  </rv>
  <rv s="7">
    <fb>160.66</fb>
    <v>13</v>
  </rv>
  <rv s="7">
    <fb>74.66</fb>
    <v>13</v>
  </rv>
  <rv s="7">
    <fb>7.49</fb>
    <v>13</v>
  </rv>
  <rv s="7">
    <fb>115.42</fb>
    <v>13</v>
  </rv>
  <rv s="7">
    <fb>476.39</fb>
    <v>13</v>
  </rv>
  <rv s="7">
    <fb>274.61</fb>
    <v>13</v>
  </rv>
  <rv s="7">
    <fb>341.3</fb>
    <v>13</v>
  </rv>
  <rv s="7">
    <fb>63.06</fb>
    <v>13</v>
  </rv>
  <rv s="7">
    <fb>860.39</fb>
    <v>13</v>
  </rv>
  <rv s="7">
    <fb>222.56</fb>
    <v>13</v>
  </rv>
  <rv s="7">
    <fb>90.77</fb>
    <v>13</v>
  </rv>
  <rv s="7">
    <fb>146.75</fb>
    <v>13</v>
  </rv>
  <rv s="7">
    <fb>46008</fb>
    <v>12</v>
  </rv>
  <rv s="7">
    <fb>298.06</fb>
    <v>13</v>
  </rv>
  <rv s="7">
    <fb>64.55</fb>
    <v>13</v>
  </rv>
  <rv s="7">
    <fb>149.83000000000001</fb>
    <v>13</v>
  </rv>
  <rv s="7">
    <fb>76.099999999999994</fb>
    <v>13</v>
  </rv>
  <rv s="7">
    <fb>7.43</fb>
    <v>13</v>
  </rv>
  <rv s="7">
    <fb>115.66</fb>
    <v>13</v>
  </rv>
  <rv s="7">
    <fb>476.12</fb>
    <v>13</v>
  </rv>
  <rv s="7">
    <fb>271.83999999999997</fb>
    <v>13</v>
  </rv>
  <rv s="7">
    <fb>326.02</fb>
    <v>13</v>
  </rv>
  <rv s="7">
    <fb>62.45</fb>
    <v>13</v>
  </rv>
  <rv s="7">
    <fb>862.65</fb>
    <v>13</v>
  </rv>
  <rv s="7">
    <fb>221.27</fb>
    <v>13</v>
  </rv>
  <rv s="7">
    <fb>94.96</fb>
    <v>13</v>
  </rv>
  <rv s="7">
    <fb>149.52000000000001</fb>
    <v>13</v>
  </rv>
  <rv s="7">
    <fb>71.55</fb>
    <v>13</v>
  </rv>
  <rv s="7">
    <fb>46009</fb>
    <v>12</v>
  </rv>
  <rv s="7">
    <fb>303.75</fb>
    <v>13</v>
  </rv>
  <rv s="7">
    <fb>67.680000000000007</fb>
    <v>13</v>
  </rv>
  <rv s="7">
    <fb>154.38999999999999</fb>
    <v>13</v>
  </rv>
  <rv s="7">
    <fb>76.760000000000005</fb>
    <v>13</v>
  </rv>
  <rv s="7">
    <fb>7.24</fb>
    <v>13</v>
  </rv>
  <rv s="7">
    <fb>114.83</fb>
    <v>13</v>
  </rv>
  <rv s="7">
    <fb>483.98</fb>
    <v>13</v>
  </rv>
  <rv s="7">
    <fb>272.19</fb>
    <v>13</v>
  </rv>
  <rv s="7">
    <fb>329.88</fb>
    <v>13</v>
  </rv>
  <rv s="7">
    <fb>62.94</fb>
    <v>13</v>
  </rv>
  <rv s="7">
    <fb>857.59</fb>
    <v>13</v>
  </rv>
  <rv s="7">
    <fb>226.76</fb>
    <v>13</v>
  </rv>
  <rv s="7">
    <fb>92.23</fb>
    <v>13</v>
  </rv>
  <rv s="7">
    <fb>147.69</fb>
    <v>13</v>
  </rv>
  <rv s="7">
    <fb>71.31</fb>
    <v>13</v>
  </rv>
  <rv s="7">
    <fb>46010</fb>
    <v>12</v>
  </rv>
  <rv s="7">
    <fb>308.61</fb>
    <v>13</v>
  </rv>
  <rv s="7">
    <fb>83</fb>
    <v>13</v>
  </rv>
  <rv s="7">
    <fb>159.82</fb>
    <v>13</v>
  </rv>
  <rv s="7">
    <fb>77.92</fb>
    <v>13</v>
  </rv>
  <rv s="7">
    <fb>70.06</fb>
    <v>13</v>
  </rv>
  <rv s="7">
    <fb>7.56</fb>
    <v>13</v>
  </rv>
  <rv s="7">
    <fb>114.36</fb>
    <v>13</v>
  </rv>
  <rv s="7">
    <fb>485.92</fb>
    <v>13</v>
  </rv>
  <rv s="7">
    <fb>273.67</fb>
    <v>13</v>
  </rv>
  <rv s="7">
    <fb>340.36</fb>
    <v>13</v>
  </rv>
  <rv s="7">
    <fb>64.260000000000005</fb>
    <v>13</v>
  </rv>
  <rv s="7">
    <fb>855.62</fb>
    <v>13</v>
  </rv>
  <rv s="7">
    <fb>227.35</fb>
    <v>13</v>
  </rv>
  <rv s="7">
    <fb>91.94</fb>
    <v>13</v>
  </rv>
  <rv s="7">
    <fb>147.75</fb>
    <v>13</v>
  </rv>
  <rv s="7">
    <fb>72.02</fb>
    <v>13</v>
  </rv>
  <rv s="7">
    <fb>46013</fb>
    <v>12</v>
  </rv>
  <rv s="7">
    <fb>311.33</fb>
    <v>13</v>
  </rv>
  <rv s="7">
    <fb>84.83</fb>
    <v>13</v>
  </rv>
  <rv s="7">
    <fb>166.25</fb>
    <v>13</v>
  </rv>
  <rv s="7">
    <fb>78.73</fb>
    <v>13</v>
  </rv>
  <rv s="7">
    <fb>112.6</fb>
    <v>13</v>
  </rv>
  <rv s="7">
    <fb>484.92</fb>
    <v>13</v>
  </rv>
  <rv s="7">
    <fb>270.97000000000003</fb>
    <v>13</v>
  </rv>
  <rv s="7">
    <fb>341.45</fb>
    <v>13</v>
  </rv>
  <rv s="7">
    <fb>65.795000000000002</fb>
    <v>13</v>
  </rv>
  <rv s="7">
    <fb>850</fb>
    <v>13</v>
  </rv>
  <rv s="7">
    <fb>228.43</fb>
    <v>13</v>
  </rv>
  <rv s="7">
    <fb>93.31</fb>
    <v>13</v>
  </rv>
  <rv s="7">
    <fb>72.58</fb>
    <v>13</v>
  </rv>
  <rv s="7">
    <fb>46014</fb>
    <v>12</v>
  </rv>
  <rv s="7">
    <fb>315.68</fb>
    <v>13</v>
  </rv>
  <rv s="7">
    <fb>80.260000000000005</fb>
    <v>13</v>
  </rv>
  <rv s="7">
    <fb>166.26</fb>
    <v>13</v>
  </rv>
  <rv s="7">
    <fb>79.28</fb>
    <v>13</v>
  </rv>
  <rv s="7">
    <fb>69.87</fb>
    <v>13</v>
  </rv>
  <rv s="7">
    <fb>7.87</fb>
    <v>13</v>
  </rv>
  <rv s="7">
    <fb>110.9</fb>
    <v>13</v>
  </rv>
  <rv s="7">
    <fb>486.85</fb>
    <v>13</v>
  </rv>
  <rv s="7">
    <fb>272.36</fb>
    <v>13</v>
  </rv>
  <rv s="7">
    <fb>349.32</fb>
    <v>13</v>
  </rv>
  <rv s="7">
    <fb>65.959999999999994</fb>
    <v>13</v>
  </rv>
  <rv s="7">
    <fb>854.79</fb>
    <v>13</v>
  </rv>
  <rv s="7">
    <fb>232.14</fb>
    <v>13</v>
  </rv>
  <rv s="7">
    <fb>92.73</fb>
    <v>13</v>
  </rv>
  <rv s="7">
    <fb>150.51</fb>
    <v>13</v>
  </rv>
  <rv s="7">
    <fb>73.069999999999993</fb>
    <v>13</v>
  </rv>
  <rv s="7">
    <fb>46015</fb>
    <v>12</v>
  </rv>
  <rv s="7">
    <fb>315.67</fb>
    <v>13</v>
  </rv>
  <rv s="7">
    <fb>78.87</fb>
    <v>13</v>
  </rv>
  <rv s="7">
    <fb>166.87</fb>
    <v>13</v>
  </rv>
  <rv s="7">
    <fb>79.58</fb>
    <v>13</v>
  </rv>
  <rv s="7">
    <fb>70.11</fb>
    <v>13</v>
  </rv>
  <rv s="7">
    <fb>7.86</fb>
    <v>13</v>
  </rv>
  <rv s="7">
    <fb>111.61</fb>
    <v>13</v>
  </rv>
  <rv s="7">
    <fb>488.02</fb>
    <v>13</v>
  </rv>
  <rv s="7">
    <fb>273.81</fb>
    <v>13</v>
  </rv>
  <rv s="7">
    <fb>350.22</fb>
    <v>13</v>
  </rv>
  <rv s="7">
    <fb>65.98</fb>
    <v>13</v>
  </rv>
  <rv s="7">
    <fb>871.86</fb>
    <v>13</v>
  </rv>
  <rv s="7">
    <fb>91.8</fb>
    <v>13</v>
  </rv>
  <rv s="7">
    <fb>150.5</fb>
    <v>13</v>
  </rv>
  <rv s="7">
    <fb>72.84</fb>
    <v>13</v>
  </rv>
  <rv s="7">
    <fb>46017</fb>
    <v>12</v>
  </rv>
  <rv s="7">
    <fb>314.95999999999998</fb>
    <v>13</v>
  </rv>
  <rv s="7">
    <fb>76.42</fb>
    <v>13</v>
  </rv>
  <rv s="7">
    <fb>167.58</fb>
    <v>13</v>
  </rv>
  <rv s="7">
    <fb>79.97</fb>
    <v>13</v>
  </rv>
  <rv s="7">
    <fb>111.74</fb>
    <v>13</v>
  </rv>
  <rv s="7">
    <fb>487.71</fb>
    <v>13</v>
  </rv>
  <rv s="7">
    <fb>273.39999999999998</fb>
    <v>13</v>
  </rv>
  <rv s="7">
    <fb>352.13</fb>
    <v>13</v>
  </rv>
  <rv s="7">
    <fb>66.16</fb>
    <v>13</v>
  </rv>
  <rv s="7">
    <fb>873.35</fb>
    <v>13</v>
  </rv>
  <rv s="7">
    <fb>232.52</fb>
    <v>13</v>
  </rv>
  <rv s="7">
    <fb>91.54</fb>
    <v>13</v>
  </rv>
  <rv s="7">
    <fb>150.02000000000001</fb>
    <v>13</v>
  </rv>
  <rv s="7">
    <fb>72.81</fb>
    <v>13</v>
  </rv>
  <rv s="7">
    <fb>46020</fb>
    <v>12</v>
  </rv>
  <rv s="7">
    <fb>314.39</fb>
    <v>13</v>
  </rv>
  <rv s="7">
    <fb>165.62</fb>
    <v>13</v>
  </rv>
  <rv s="7">
    <fb>78.849999999999994</fb>
    <v>13</v>
  </rv>
  <rv s="7">
    <fb>7.83</fb>
    <v>13</v>
  </rv>
  <rv s="7">
    <fb>112.53</fb>
    <v>13</v>
  </rv>
  <rv s="7">
    <fb>487.1</fb>
    <v>13</v>
  </rv>
  <rv s="7">
    <fb>273.76</fb>
    <v>13</v>
  </rv>
  <rv s="7">
    <fb>349.39</fb>
    <v>13</v>
  </rv>
  <rv s="7">
    <fb>65.349999999999994</fb>
    <v>13</v>
  </rv>
  <rv s="7">
    <fb>867.84</fb>
    <v>13</v>
  </rv>
  <rv s="7">
    <fb>232.07</fb>
    <v>13</v>
  </rv>
  <rv s="7">
    <fb>92.63</fb>
    <v>13</v>
  </rv>
  <rv s="7">
    <fb>150.99</fb>
    <v>13</v>
  </rv>
  <rv s="7">
    <fb>46021</fb>
    <v>12</v>
  </rv>
  <rv s="7">
    <fb>314.55</fb>
    <v>13</v>
  </rv>
  <rv s="7">
    <fb>73.900000000000006</fb>
    <v>13</v>
  </rv>
  <rv s="7">
    <fb>164.34</fb>
    <v>13</v>
  </rv>
  <rv s="7">
    <fb>7.92</fb>
    <v>13</v>
  </rv>
  <rv s="7">
    <fb>111.92</fb>
    <v>13</v>
  </rv>
  <rv s="7">
    <fb>487.48</fb>
    <v>13</v>
  </rv>
  <rv s="7">
    <fb>273.08</fb>
    <v>13</v>
  </rv>
  <rv s="7">
    <fb>349.85</fb>
    <v>13</v>
  </rv>
  <rv s="7">
    <fb>65</fb>
    <v>13</v>
  </rv>
  <rv s="7">
    <fb>865.65</fb>
    <v>13</v>
  </rv>
  <rv s="7">
    <fb>232.53</fb>
    <v>13</v>
  </rv>
  <rv s="7">
    <fb>94.1</fb>
    <v>13</v>
  </rv>
  <rv s="7">
    <fb>152.31</fb>
    <v>13</v>
  </rv>
  <rv s="7">
    <fb>73.83</fb>
    <v>13</v>
  </rv>
  <rv s="7">
    <fb>46022</fb>
    <v>12</v>
  </rv>
  <rv s="7">
    <fb>313.8</fb>
    <v>13</v>
  </rv>
  <rv s="7">
    <fb>162.01</fb>
    <v>13</v>
  </rv>
  <rv s="7">
    <fb>78.67</fb>
    <v>13</v>
  </rv>
  <rv s="7">
    <fb>69.91</fb>
    <v>13</v>
  </rv>
  <rv s="7">
    <fb>111.41</fb>
    <v>13</v>
  </rv>
  <rv s="7">
    <fb>483.62</fb>
    <v>13</v>
  </rv>
  <rv s="7">
    <fb>271.86</fb>
    <v>13</v>
  </rv>
  <rv s="7">
    <fb>346.1</fb>
    <v>13</v>
  </rv>
  <rv s="7">
    <fb>64.31</fb>
    <v>13</v>
  </rv>
  <rv s="7">
    <fb>862.34</fb>
    <v>13</v>
  </rv>
  <rv s="7">
    <fb>230.82</fb>
    <v>13</v>
  </rv>
  <rv s="7">
    <fb>93.61</fb>
    <v>13</v>
  </rv>
  <rv s="7">
    <fb>152.41</fb>
    <v>13</v>
  </rv>
  <rv s="7">
    <fb>73.48</fb>
    <v>13</v>
  </rv>
  <rv s="7">
    <fb>46024</fb>
    <v>12</v>
  </rv>
  <rv s="7">
    <fb>315.32</fb>
    <v>13</v>
  </rv>
  <rv s="7">
    <fb>79.319999999999993</fb>
    <v>13</v>
  </rv>
  <rv s="7">
    <fb>175.61</fb>
    <v>13</v>
  </rv>
  <rv s="7">
    <fb>80.45</fb>
    <v>13</v>
  </rv>
  <rv s="7">
    <fb>69.12</fb>
    <v>13</v>
  </rv>
  <rv s="7">
    <fb>8.1</fb>
    <v>13</v>
  </rv>
  <rv s="7">
    <fb>112.76</fb>
    <v>13</v>
  </rv>
  <rv s="7">
    <fb>472.94</fb>
    <v>13</v>
  </rv>
  <rv s="7">
    <fb>271.01</fb>
    <v>13</v>
  </rv>
  <rv s="7">
    <fb>347.62</fb>
    <v>13</v>
  </rv>
  <rv s="7">
    <fb>67.23</fb>
    <v>13</v>
  </rv>
  <rv s="7">
    <fb>854.5</fb>
    <v>13</v>
  </rv>
  <rv s="7">
    <fb>226.5</fb>
    <v>13</v>
  </rv>
  <rv s="7">
    <fb>96.7</fb>
    <v>13</v>
  </rv>
  <rv s="7">
    <fb>155.9</fb>
    <v>13</v>
  </rv>
  <rv s="7">
    <fb>75.44</fb>
    <v>13</v>
  </rv>
  <rv s="7">
    <fb>46027</fb>
    <v>12</v>
  </rv>
  <rv s="7">
    <fb>317.32</fb>
    <v>13</v>
  </rv>
  <rv s="7">
    <fb>76.86</fb>
    <v>13</v>
  </rv>
  <rv s="7">
    <fb>173.95</fb>
    <v>13</v>
  </rv>
  <rv s="7">
    <fb>81.28</fb>
    <v>13</v>
  </rv>
  <rv s="7">
    <fb>67.94</fb>
    <v>13</v>
  </rv>
  <rv s="7">
    <fb>8.09</fb>
    <v>13</v>
  </rv>
  <rv s="7">
    <fb>112.71</fb>
    <v>13</v>
  </rv>
  <rv s="7">
    <fb>472.85</fb>
    <v>13</v>
  </rv>
  <rv s="7">
    <fb>267.26</fb>
    <v>13</v>
  </rv>
  <rv s="7">
    <fb>343.42</fb>
    <v>13</v>
  </rv>
  <rv s="7">
    <fb>71.569999999999993</fb>
    <v>13</v>
  </rv>
  <rv s="7">
    <fb>875.74</fb>
    <v>13</v>
  </rv>
  <rv s="7">
    <fb>233.06</fb>
    <v>13</v>
  </rv>
  <rv s="7">
    <fb>99.2</fb>
    <v>13</v>
  </rv>
  <rv s="7">
    <fb>163.85</fb>
    <v>13</v>
  </rv>
  <rv s="7">
    <fb>75.03</fb>
    <v>13</v>
  </rv>
  <rv s="7">
    <fb>46028</fb>
    <v>12</v>
  </rv>
  <rv s="7">
    <fb>77.94</fb>
    <v>13</v>
  </rv>
  <rv s="7">
    <fb>174.95</fb>
    <v>13</v>
  </rv>
  <rv s="7">
    <fb>82.08</fb>
    <v>13</v>
  </rv>
  <rv s="7">
    <fb>67.84</fb>
    <v>13</v>
  </rv>
  <rv s="7">
    <fb>7.91</fb>
    <v>13</v>
  </rv>
  <rv s="7">
    <fb>114.34</fb>
    <v>13</v>
  </rv>
  <rv s="7">
    <fb>478.51</fb>
    <v>13</v>
  </rv>
  <rv s="7">
    <fb>262.36</fb>
    <v>13</v>
  </rv>
  <rv s="7">
    <fb>343.77</fb>
    <v>13</v>
  </rv>
  <rv s="7">
    <fb>889.1</fb>
    <v>13</v>
  </rv>
  <rv s="7">
    <fb>240.93</fb>
    <v>13</v>
  </rv>
  <rv s="7">
    <fb>97.11</fb>
    <v>13</v>
  </rv>
  <rv s="7">
    <fb>156.54</fb>
    <v>13</v>
  </rv>
  <rv s="7">
    <fb>72.900000000000006</fb>
    <v>13</v>
  </rv>
  <rv s="7">
    <fb>46029</fb>
    <v>12</v>
  </rv>
  <rv s="7">
    <fb>322.43</fb>
    <v>13</v>
  </rv>
  <rv s="7">
    <fb>77.180000000000007</fb>
    <v>13</v>
  </rv>
  <rv s="7">
    <fb>171.54</fb>
    <v>13</v>
  </rv>
  <rv s="7">
    <fb>67.540000000000006</fb>
    <v>13</v>
  </rv>
  <rv s="7">
    <fb>7.95</fb>
    <v>13</v>
  </rv>
  <rv s="7">
    <fb>112.72</fb>
    <v>13</v>
  </rv>
  <rv s="7">
    <fb>260.33</fb>
    <v>13</v>
  </rv>
  <rv s="7">
    <fb>343.5</fb>
    <v>13</v>
  </rv>
  <rv s="7">
    <fb>71.34</fb>
    <v>13</v>
  </rv>
  <rv s="7">
    <fb>882.58</fb>
    <v>13</v>
  </rv>
  <rv s="7">
    <fb>241.56</fb>
    <v>13</v>
  </rv>
  <rv s="7">
    <fb>93.94</fb>
    <v>13</v>
  </rv>
  <rv s="7">
    <fb>155.19999999999999</fb>
    <v>13</v>
  </rv>
  <rv s="7">
    <fb>71.540000000000006</fb>
    <v>13</v>
  </rv>
  <rv s="7">
    <fb>46030</fb>
    <v>12</v>
  </rv>
  <rv s="7">
    <fb>326.01</fb>
    <v>13</v>
  </rv>
  <rv s="7">
    <fb>77.09</fb>
    <v>13</v>
  </rv>
  <rv s="7">
    <fb>160.78</fb>
    <v>13</v>
  </rv>
  <rv s="7">
    <fb>80.489999999999995</fb>
    <v>13</v>
  </rv>
  <rv s="7">
    <fb>69.37</fb>
    <v>13</v>
  </rv>
  <rv s="7">
    <fb>113.07</fb>
    <v>13</v>
  </rv>
  <rv s="7">
    <fb>478.11</fb>
    <v>13</v>
  </rv>
  <rv s="7">
    <fb>259.04000000000002</fb>
    <v>13</v>
  </rv>
  <rv s="7">
    <fb>332.48</fb>
    <v>13</v>
  </rv>
  <rv s="7">
    <fb>915.31</fb>
    <v>13</v>
  </rv>
  <rv s="7">
    <fb>246.29</fb>
    <v>13</v>
  </rv>
  <rv s="7">
    <fb>98.72</fb>
    <v>13</v>
  </rv>
  <rv s="7">
    <fb>159.25</fb>
    <v>13</v>
  </rv>
  <rv s="7">
    <fb>70.31</fb>
    <v>13</v>
  </rv>
  <rv s="7">
    <fb>46031</fb>
    <v>12</v>
  </rv>
  <rv s="7">
    <fb>329.14</fb>
    <v>13</v>
  </rv>
  <rv s="7">
    <fb>80.14</fb>
    <v>13</v>
  </rv>
  <rv s="7">
    <fb>163.58000000000001</fb>
    <v>13</v>
  </rv>
  <rv s="7">
    <fb>80.19</fb>
    <v>13</v>
  </rv>
  <rv s="7">
    <fb>70.510000000000005</fb>
    <v>13</v>
  </rv>
  <rv s="7">
    <fb>7.99</fb>
    <v>13</v>
  </rv>
  <rv s="7">
    <fb>114.53</fb>
    <v>13</v>
  </rv>
  <rv s="7">
    <fb>479.28</fb>
    <v>13</v>
  </rv>
  <rv s="7">
    <fb>259.37</fb>
    <v>13</v>
  </rv>
  <rv s="7">
    <fb>344.97</fb>
    <v>13</v>
  </rv>
  <rv s="7">
    <fb>70.47</fb>
    <v>13</v>
  </rv>
  <rv s="7">
    <fb>924.88</fb>
    <v>13</v>
  </rv>
  <rv s="7">
    <fb>247.38</fb>
    <v>13</v>
  </rv>
  <rv s="7">
    <fb>97.51</fb>
    <v>13</v>
  </rv>
  <rv s="7">
    <fb>162.11000000000001</fb>
    <v>13</v>
  </rv>
  <rv s="7">
    <fb>70.83</fb>
    <v>13</v>
  </rv>
  <rv s="7">
    <fb>46034</fb>
    <v>12</v>
  </rv>
  <rv s="7">
    <fb>332.73</fb>
    <v>13</v>
  </rv>
  <rv s="7">
    <fb>89.93</fb>
    <v>13</v>
  </rv>
  <rv s="7">
    <fb>170.03</fb>
    <v>13</v>
  </rv>
  <rv s="7">
    <fb>81.31</fb>
    <v>13</v>
  </rv>
  <rv s="7">
    <fb>70.5</fb>
    <v>13</v>
  </rv>
  <rv s="7">
    <fb>7.85</fb>
    <v>13</v>
  </rv>
  <rv s="7">
    <fb>117.97</fb>
    <v>13</v>
  </rv>
  <rv s="7">
    <fb>477.18</fb>
    <v>13</v>
  </rv>
  <rv s="7">
    <fb>260.25</fb>
    <v>13</v>
  </rv>
  <rv s="7">
    <fb>352.21</fb>
    <v>13</v>
  </rv>
  <rv s="7">
    <fb>943.08</fb>
    <v>13</v>
  </rv>
  <rv s="7">
    <fb>246.47</fb>
    <v>13</v>
  </rv>
  <rv s="7">
    <fb>95.5</fb>
    <v>13</v>
  </rv>
  <rv s="7">
    <fb>162.34</fb>
    <v>13</v>
  </rv>
  <rv s="7">
    <fb>71.66</fb>
    <v>13</v>
  </rv>
  <rv s="7">
    <fb>46035</fb>
    <v>12</v>
  </rv>
  <rv s="7">
    <fb>336.43</fb>
    <v>13</v>
  </rv>
  <rv s="7">
    <fb>87.48</fb>
    <v>13</v>
  </rv>
  <rv s="7">
    <fb>172.72</fb>
    <v>13</v>
  </rv>
  <rv s="7">
    <fb>81.52</fb>
    <v>13</v>
  </rv>
  <rv s="7">
    <fb>71.239999999999995</fb>
    <v>13</v>
  </rv>
  <rv s="7">
    <fb>7.74</fb>
    <v>13</v>
  </rv>
  <rv s="7">
    <fb>120.36</fb>
    <v>13</v>
  </rv>
  <rv s="7">
    <fb>470.67</fb>
    <v>13</v>
  </rv>
  <rv s="7">
    <fb>261.05</fb>
    <v>13</v>
  </rv>
  <rv s="7">
    <fb>354.61</fb>
    <v>13</v>
  </rv>
  <rv s="7">
    <fb>70.59</fb>
    <v>13</v>
  </rv>
  <rv s="7">
    <fb>941.93</fb>
    <v>13</v>
  </rv>
  <rv s="7">
    <fb>242.6</fb>
    <v>13</v>
  </rv>
  <rv s="7">
    <fb>96.46</fb>
    <v>13</v>
  </rv>
  <rv s="7">
    <fb>163.87</fb>
    <v>13</v>
  </rv>
  <rv s="7">
    <fb>73.180000000000007</fb>
    <v>13</v>
  </rv>
  <rv s="7">
    <fb>46036</fb>
    <v>12</v>
  </rv>
  <rv s="7">
    <fb>336.31</fb>
    <v>13</v>
  </rv>
  <rv s="7">
    <fb>89.8</fb>
    <v>13</v>
  </rv>
  <rv s="7">
    <fb>170.86</fb>
    <v>13</v>
  </rv>
  <rv s="7">
    <fb>81.760000000000005</fb>
    <v>13</v>
  </rv>
  <rv s="7">
    <fb>71.44</fb>
    <v>13</v>
  </rv>
  <rv s="7">
    <fb>120.04</fb>
    <v>13</v>
  </rv>
  <rv s="7">
    <fb>459.38</fb>
    <v>13</v>
  </rv>
  <rv s="7">
    <fb>259.95999999999998</fb>
    <v>13</v>
  </rv>
  <rv s="7">
    <fb>339.89</fb>
    <v>13</v>
  </rv>
  <rv s="7">
    <fb>71.349999999999994</fb>
    <v>13</v>
  </rv>
  <rv s="7">
    <fb>950.98</fb>
    <v>13</v>
  </rv>
  <rv s="7">
    <fb>236.65</fb>
    <v>13</v>
  </rv>
  <rv s="7">
    <fb>100.34</fb>
    <v>13</v>
  </rv>
  <rv s="7">
    <fb>167.24</fb>
    <v>13</v>
  </rv>
  <rv s="7">
    <fb>74.349999999999994</fb>
    <v>13</v>
  </rv>
  <rv s="7">
    <fb>46037</fb>
    <v>12</v>
  </rv>
  <rv s="7">
    <fb>333.16</fb>
    <v>13</v>
  </rv>
  <rv s="7">
    <fb>95.01</fb>
    <v>13</v>
  </rv>
  <rv s="7">
    <fb>172.54</fb>
    <v>13</v>
  </rv>
  <rv s="7">
    <fb>82.83</fb>
    <v>13</v>
  </rv>
  <rv s="7">
    <fb>70.48</fb>
    <v>13</v>
  </rv>
  <rv s="7">
    <fb>7.88</fb>
    <v>13</v>
  </rv>
  <rv s="7">
    <fb>119.2</fb>
    <v>13</v>
  </rv>
  <rv s="7">
    <fb>456.66</fb>
    <v>13</v>
  </rv>
  <rv s="7">
    <fb>258.20999999999998</fb>
    <v>13</v>
  </rv>
  <rv s="7">
    <fb>343.02</fb>
    <v>13</v>
  </rv>
  <rv s="7">
    <fb>73.680000000000007</fb>
    <v>13</v>
  </rv>
  <rv s="7">
    <fb>956.75</fb>
    <v>13</v>
  </rv>
  <rv s="7">
    <fb>238.18</fb>
    <v>13</v>
  </rv>
  <rv s="7">
    <fb>98.93</fb>
    <v>13</v>
  </rv>
  <rv s="7">
    <fb>166.16</fb>
    <v>13</v>
  </rv>
  <rv s="7">
    <fb>73.42</fb>
    <v>13</v>
  </rv>
  <rv s="7">
    <fb>46038</fb>
    <v>12</v>
  </rv>
  <rv s="7">
    <fb>330.34</fb>
    <v>13</v>
  </rv>
  <rv s="7">
    <fb>101.23</fb>
    <v>13</v>
  </rv>
  <rv s="7">
    <fb>176.93</fb>
    <v>13</v>
  </rv>
  <rv s="7">
    <fb>82.53</fb>
    <v>13</v>
  </rv>
  <rv s="7">
    <fb>70.44</fb>
    <v>13</v>
  </rv>
  <rv s="7">
    <fb>119.7</fb>
    <v>13</v>
  </rv>
  <rv s="7">
    <fb>459.86</fb>
    <v>13</v>
  </rv>
  <rv s="7">
    <fb>255.53</fb>
    <v>13</v>
  </rv>
  <rv s="7">
    <fb>351.71</fb>
    <v>13</v>
  </rv>
  <rv s="7">
    <fb>73.36</fb>
    <v>13</v>
  </rv>
  <rv s="7">
    <fb>963.61</fb>
    <v>13</v>
  </rv>
  <rv s="7">
    <fb>239.12</fb>
    <v>13</v>
  </rv>
  <rv s="7">
    <fb>98.19</fb>
    <v>13</v>
  </rv>
  <rv s="7">
    <fb>74.25</fb>
    <v>13</v>
  </rv>
  <rv s="7">
    <fb>46042</fb>
    <v>12</v>
  </rv>
  <rv s="7">
    <fb>322.16000000000003</fb>
    <v>13</v>
  </rv>
  <rv s="7">
    <fb>95.22</fb>
    <v>13</v>
  </rv>
  <rv s="7">
    <fb>175.18</fb>
    <v>13</v>
  </rv>
  <rv s="7">
    <fb>82.5</fb>
    <v>13</v>
  </rv>
  <rv s="7">
    <fb>71.75</fb>
    <v>13</v>
  </rv>
  <rv s="7">
    <fb>118.71</fb>
    <v>13</v>
  </rv>
  <rv s="7">
    <fb>454.52</fb>
    <v>13</v>
  </rv>
  <rv s="7">
    <fb>246.7</fb>
    <v>13</v>
  </rv>
  <rv s="7">
    <fb>332.6</fb>
    <v>13</v>
  </rv>
  <rv s="7">
    <fb>964.26</fb>
    <v>13</v>
  </rv>
  <rv s="7">
    <fb>231</fb>
    <v>13</v>
  </rv>
  <rv s="7">
    <fb>95.52</fb>
    <v>13</v>
  </rv>
  <rv s="7">
    <fb>165.3</fb>
    <v>13</v>
  </rv>
  <rv s="7">
    <fb>73.11</fb>
    <v>13</v>
  </rv>
  <rv s="7">
    <fb>46043</fb>
    <v>12</v>
  </rv>
  <rv s="7">
    <fb>328.38</fb>
    <v>13</v>
  </rv>
  <rv s="7">
    <fb>94.05</fb>
    <v>13</v>
  </rv>
  <rv s="7">
    <fb>181.47</fb>
    <v>13</v>
  </rv>
  <rv s="7">
    <fb>83.17</fb>
    <v>13</v>
  </rv>
  <rv s="7">
    <fb>7.63</fb>
    <v>13</v>
  </rv>
  <rv s="7">
    <fb>119.36</fb>
    <v>13</v>
  </rv>
  <rv s="7">
    <fb>444.11</fb>
    <v>13</v>
  </rv>
  <rv s="7">
    <fb>247.65</fb>
    <v>13</v>
  </rv>
  <rv s="7">
    <fb>328.8</fb>
    <v>13</v>
  </rv>
  <rv s="7">
    <fb>75.8</fb>
    <v>13</v>
  </rv>
  <rv s="7">
    <fb>982.86</fb>
    <v>13</v>
  </rv>
  <rv s="7">
    <fb>231.31</fb>
    <v>13</v>
  </rv>
  <rv s="7">
    <fb>97.15</fb>
    <v>13</v>
  </rv>
  <rv s="7">
    <fb>166.73</fb>
    <v>13</v>
  </rv>
  <rv s="7">
    <fb>73.81</fb>
    <v>13</v>
  </rv>
  <rv s="7">
    <fb>46044</fb>
    <v>12</v>
  </rv>
  <rv s="7">
    <fb>330.84</fb>
    <v>13</v>
  </rv>
  <rv s="7">
    <fb>91.79</fb>
    <v>13</v>
  </rv>
  <rv s="7">
    <fb>181.12</fb>
    <v>13</v>
  </rv>
  <rv s="7">
    <fb>83.75</fb>
    <v>13</v>
  </rv>
  <rv s="7">
    <fb>71.87</fb>
    <v>13</v>
  </rv>
  <rv s="7">
    <fb>7.78</fb>
    <v>13</v>
  </rv>
  <rv s="7">
    <fb>117.83</fb>
    <v>13</v>
  </rv>
  <rv s="7">
    <fb>451.14</fb>
    <v>13</v>
  </rv>
  <rv s="7">
    <fb>248.35</fb>
    <v>13</v>
  </rv>
  <rv s="7">
    <fb>325.49</fb>
    <v>13</v>
  </rv>
  <rv s="7">
    <fb>77.209999999999994</fb>
    <v>13</v>
  </rv>
  <rv s="7">
    <fb>976.17</fb>
    <v>13</v>
  </rv>
  <rv s="7">
    <fb>234.34</fb>
    <v>13</v>
  </rv>
  <rv s="7">
    <fb>96.88</fb>
    <v>13</v>
  </rv>
  <rv s="7">
    <fb>166.66</fb>
    <v>13</v>
  </rv>
  <rv s="7">
    <fb>72.42</fb>
    <v>13</v>
  </rv>
  <rv s="7">
    <fb>46045</fb>
    <v>12</v>
  </rv>
  <rv s="7">
    <fb>328.43</fb>
    <v>13</v>
  </rv>
  <rv s="7">
    <fb>92.98</fb>
    <v>13</v>
  </rv>
  <rv s="7">
    <fb>182.49</fb>
    <v>13</v>
  </rv>
  <rv s="7">
    <fb>83.94</fb>
    <v>13</v>
  </rv>
  <rv s="7">
    <fb>117.73</fb>
    <v>13</v>
  </rv>
  <rv s="7">
    <fb>465.95</fb>
    <v>13</v>
  </rv>
  <rv s="7">
    <fb>248.04</fb>
    <v>13</v>
  </rv>
  <rv s="7">
    <fb>320.05</fb>
    <v>13</v>
  </rv>
  <rv s="7">
    <fb>77.58</fb>
    <v>13</v>
  </rv>
  <rv s="7">
    <fb>983.25</fb>
    <v>13</v>
  </rv>
  <rv s="7">
    <fb>239.16</fb>
    <v>13</v>
  </rv>
  <rv s="7">
    <fb>98.35</fb>
    <v>13</v>
  </rv>
  <rv s="7">
    <fb>166.72</fb>
    <v>13</v>
  </rv>
  <rv s="7">
    <fb>73.75</fb>
    <v>13</v>
  </rv>
  <rv s="7">
    <fb>46048</fb>
    <v>12</v>
  </rv>
  <rv s="7">
    <fb>333.59</fb>
    <v>13</v>
  </rv>
  <rv s="7">
    <fb>98.31</fb>
    <v>13</v>
  </rv>
  <rv s="7">
    <fb>181.23</fb>
    <v>13</v>
  </rv>
  <rv s="7">
    <fb>85.09</fb>
    <v>13</v>
  </rv>
  <rv s="7">
    <fb>7.82</fb>
    <v>13</v>
  </rv>
  <rv s="7">
    <fb>117.64</fb>
    <v>13</v>
  </rv>
  <rv s="7">
    <fb>470.28</fb>
    <v>13</v>
  </rv>
  <rv s="7">
    <fb>255.41</fb>
    <v>13</v>
  </rv>
  <rv s="7">
    <fb>324.85000000000002</fb>
    <v>13</v>
  </rv>
  <rv s="7">
    <fb>75.349999999999994</fb>
    <v>13</v>
  </rv>
  <rv s="7">
    <fb>977.67</fb>
    <v>13</v>
  </rv>
  <rv s="7">
    <fb>238.42</fb>
    <v>13</v>
  </rv>
  <rv s="7">
    <fb>98.45</fb>
    <v>13</v>
  </rv>
  <rv s="7">
    <fb>167.5</fb>
    <v>13</v>
  </rv>
  <rv s="7">
    <fb>73.25</fb>
    <v>13</v>
  </rv>
  <rv s="7">
    <fb>46049</fb>
    <v>12</v>
  </rv>
  <rv s="7">
    <fb>335</fb>
    <v>13</v>
  </rv>
  <rv s="7">
    <fb>108.86</fb>
    <v>13</v>
  </rv>
  <rv s="7">
    <fb>189.21</fb>
    <v>13</v>
  </rv>
  <rv s="7">
    <fb>88.49</fb>
    <v>13</v>
  </rv>
  <rv s="7">
    <fb>73.55</fb>
    <v>13</v>
  </rv>
  <rv s="7">
    <fb>116.94</fb>
    <v>13</v>
  </rv>
  <rv s="7">
    <fb>480.58</fb>
    <v>13</v>
  </rv>
  <rv s="7">
    <fb>258.27</fb>
    <v>13</v>
  </rv>
  <rv s="7">
    <fb>332.79</fb>
    <v>13</v>
  </rv>
  <rv s="7">
    <fb>75.48</fb>
    <v>13</v>
  </rv>
  <rv s="7">
    <fb>970.28</fb>
    <v>13</v>
  </rv>
  <rv s="7">
    <fb>244.68</fb>
    <v>13</v>
  </rv>
  <rv s="7">
    <fb>99.87</fb>
    <v>13</v>
  </rv>
  <rv s="7">
    <fb>169.05</fb>
    <v>13</v>
  </rv>
  <rv s="7">
    <fb>75.45</fb>
    <v>13</v>
  </rv>
  <rv s="7">
    <fb>46050</fb>
    <v>12</v>
  </rv>
  <rv s="7">
    <fb>336.28</fb>
    <v>13</v>
  </rv>
  <rv s="7">
    <fb>106.02</fb>
    <v>13</v>
  </rv>
  <rv s="7">
    <fb>87</fb>
    <v>13</v>
  </rv>
  <rv s="7">
    <fb>73.06</fb>
    <v>13</v>
  </rv>
  <rv s="7">
    <fb>8.0299999999999994</fb>
    <v>13</v>
  </rv>
  <rv s="7">
    <fb>116.57</fb>
    <v>13</v>
  </rv>
  <rv s="7">
    <fb>481.63</fb>
    <v>13</v>
  </rv>
  <rv s="7">
    <fb>256.44</fb>
    <v>13</v>
  </rv>
  <rv s="7">
    <fb>333.24</fb>
    <v>13</v>
  </rv>
  <rv s="7">
    <fb>960.78</fb>
    <v>13</v>
  </rv>
  <rv s="7">
    <fb>243.01</fb>
    <v>13</v>
  </rv>
  <rv s="7">
    <fb>169.93</fb>
    <v>13</v>
  </rv>
  <rv s="7">
    <fb>75.790000000000006</fb>
    <v>13</v>
  </rv>
  <rv s="7">
    <fb>46051</fb>
    <v>12</v>
  </rv>
  <rv s="7">
    <fb>338.66</fb>
    <v>13</v>
  </rv>
  <rv s="7">
    <fb>99.53</fb>
    <v>13</v>
  </rv>
  <rv s="7">
    <fb>195.1</fb>
    <v>13</v>
  </rv>
  <rv s="7">
    <fb>88.54</fb>
    <v>13</v>
  </rv>
  <rv s="7">
    <fb>73.430000000000007</fb>
    <v>13</v>
  </rv>
  <rv s="7">
    <fb>8.2899999999999991</fb>
    <v>13</v>
  </rv>
  <rv s="7">
    <fb>117.41</fb>
    <v>13</v>
  </rv>
  <rv s="7">
    <fb>433.5</fb>
    <v>13</v>
  </rv>
  <rv s="7">
    <fb>258.27999999999997</fb>
    <v>13</v>
  </rv>
  <rv s="7">
    <fb>330.73</fb>
    <v>13</v>
  </rv>
  <rv s="7">
    <fb>75.66</fb>
    <v>13</v>
  </rv>
  <rv s="7">
    <fb>952.89</fb>
    <v>13</v>
  </rv>
  <rv s="7">
    <fb>241.73</fb>
    <v>13</v>
  </rv>
  <rv s="7">
    <fb>102.8</fb>
    <v>13</v>
  </rv>
  <rv s="7">
    <fb>171.19</fb>
    <v>13</v>
  </rv>
  <rv s="7">
    <fb>77.47</fb>
    <v>13</v>
  </rv>
  <rv s="7">
    <fb>46052</fb>
    <v>12</v>
  </rv>
  <rv s="7">
    <fb>338.53</fb>
    <v>13</v>
  </rv>
  <rv s="7">
    <fb>93.19</fb>
    <v>13</v>
  </rv>
  <rv s="7">
    <fb>186.18</fb>
    <v>13</v>
  </rv>
  <rv s="7">
    <fb>88.01</fb>
    <v>13</v>
  </rv>
  <rv s="7">
    <fb>74.81</fb>
    <v>13</v>
  </rv>
  <rv s="7">
    <fb>7.96</fb>
    <v>13</v>
  </rv>
  <rv s="7">
    <fb>119.14</fb>
    <v>13</v>
  </rv>
  <rv s="7">
    <fb>430.29</fb>
    <v>13</v>
  </rv>
  <rv s="7">
    <fb>259.48</fb>
    <v>13</v>
  </rv>
  <rv s="7">
    <fb>331.3</fb>
    <v>13</v>
  </rv>
  <rv s="7">
    <fb>74.88</fb>
    <v>13</v>
  </rv>
  <rv s="7">
    <fb>940.25</fb>
    <v>13</v>
  </rv>
  <rv s="7">
    <fb>239.3</fb>
    <v>13</v>
  </rv>
  <rv s="7">
    <fb>104.23</fb>
    <v>13</v>
  </rv>
  <rv s="7">
    <fb>176.9</fb>
    <v>13</v>
  </rv>
  <rv s="7">
    <fb>77.03</fb>
    <v>13</v>
  </rv>
  <rv s="7">
    <fb>46055</fb>
    <v>12</v>
  </rv>
  <rv s="7">
    <fb>344.9</fb>
    <v>13</v>
  </rv>
  <rv s="7">
    <fb>88.94</fb>
    <v>13</v>
  </rv>
  <rv s="7">
    <fb>190.01</fb>
    <v>13</v>
  </rv>
  <rv s="7">
    <fb>89.6</fb>
    <v>13</v>
  </rv>
  <rv s="7">
    <fb>7.89</fb>
    <v>13</v>
  </rv>
  <rv s="7">
    <fb>124.06</fb>
    <v>13</v>
  </rv>
  <rv s="7">
    <fb>423.37</fb>
    <v>13</v>
  </rv>
  <rv s="7">
    <fb>270.01</fb>
    <v>13</v>
  </rv>
  <rv s="7">
    <fb>331.11</fb>
    <v>13</v>
  </rv>
  <rv s="7">
    <fb>75.27</fb>
    <v>13</v>
  </rv>
  <rv s="7">
    <fb>968.36</fb>
    <v>13</v>
  </rv>
  <rv s="7">
    <fb>242.96</fb>
    <v>13</v>
  </rv>
  <rv s="7">
    <fb>101.79</fb>
    <v>13</v>
  </rv>
  <rv s="7">
    <fb>174.03</fb>
    <v>13</v>
  </rv>
  <rv s="7">
    <fb>75.73</fb>
    <v>13</v>
  </rv>
  <rv s="7">
    <fb>46056</fb>
    <v>12</v>
  </rv>
  <rv s="7">
    <fb>340.7</fb>
    <v>13</v>
  </rv>
  <rv s="7">
    <fb>90.06</fb>
    <v>13</v>
  </rv>
  <rv s="7">
    <fb>190.15</fb>
    <v>13</v>
  </rv>
  <rv s="7">
    <fb>88.98</fb>
    <v>13</v>
  </rv>
  <rv s="7">
    <fb>76.89</fb>
    <v>13</v>
  </rv>
  <rv s="7">
    <fb>127.71</fb>
    <v>13</v>
  </rv>
  <rv s="7">
    <fb>411.21</fb>
    <v>13</v>
  </rv>
  <rv s="7">
    <fb>269.48</fb>
    <v>13</v>
  </rv>
  <rv s="7">
    <fb>320.33</fb>
    <v>13</v>
  </rv>
  <rv s="7">
    <fb>74.930000000000007</fb>
    <v>13</v>
  </rv>
  <rv s="7">
    <fb>977.92</fb>
    <v>13</v>
  </rv>
  <rv s="7">
    <fb>238.62</fb>
    <v>13</v>
  </rv>
  <rv s="7">
    <fb>104.91</fb>
    <v>13</v>
  </rv>
  <rv s="7">
    <fb>178.04</fb>
    <v>13</v>
  </rv>
  <rv s="7">
    <fb>77.63</fb>
    <v>13</v>
  </rv>
  <rv s="7">
    <fb>46057</fb>
    <v>12</v>
  </rv>
  <rv s="7">
    <fb>333.34</fb>
    <v>13</v>
  </rv>
  <rv s="7">
    <fb>82.46</fb>
    <v>13</v>
  </rv>
  <rv s="7">
    <fb>182.56</fb>
    <v>13</v>
  </rv>
  <rv s="7">
    <fb>89.41</fb>
    <v>13</v>
  </rv>
  <rv s="7">
    <fb>77.349999999999994</fb>
    <v>13</v>
  </rv>
  <rv s="7">
    <fb>7.47</fb>
    <v>13</v>
  </rv>
  <rv s="7">
    <fb>128</fb>
    <v>13</v>
  </rv>
  <rv s="7">
    <fb>414.19</fb>
    <v>13</v>
  </rv>
  <rv s="7">
    <fb>276.49</fb>
    <v>13</v>
  </rv>
  <rv s="7">
    <fb>308.05</fb>
    <v>13</v>
  </rv>
  <rv s="7">
    <fb>73.44</fb>
    <v>13</v>
  </rv>
  <rv s="7">
    <fb>978.35</fb>
    <v>13</v>
  </rv>
  <rv s="7">
    <fb>232.99</fb>
    <v>13</v>
  </rv>
  <rv s="7">
    <fb>107.59</fb>
    <v>13</v>
  </rv>
  <rv s="7">
    <fb>78.790000000000006</fb>
    <v>13</v>
  </rv>
  <rv s="7">
    <fb>46058</fb>
    <v>12</v>
  </rv>
  <rv s="7">
    <fb>331.33</fb>
    <v>13</v>
  </rv>
  <rv s="7">
    <fb>74.650000000000006</fb>
    <v>13</v>
  </rv>
  <rv s="7">
    <fb>177.75</fb>
    <v>13</v>
  </rv>
  <rv s="7">
    <fb>86.87</fb>
    <v>13</v>
  </rv>
  <rv s="7">
    <fb>78.510000000000005</fb>
    <v>13</v>
  </rv>
  <rv s="7">
    <fb>126.94</fb>
    <v>13</v>
  </rv>
  <rv s="7">
    <fb>393.67</fb>
    <v>13</v>
  </rv>
  <rv s="7">
    <fb>275.91000000000003</fb>
    <v>13</v>
  </rv>
  <rv s="7">
    <fb>310.51</fb>
    <v>13</v>
  </rv>
  <rv s="7">
    <fb>69.489999999999995</fb>
    <v>13</v>
  </rv>
  <rv s="7">
    <fb>989.29</fb>
    <v>13</v>
  </rv>
  <rv s="7">
    <fb>104.98</fb>
    <v>13</v>
  </rv>
  <rv s="7">
    <fb>179.23</fb>
    <v>13</v>
  </rv>
  <rv s="7">
    <fb>74.63</fb>
    <v>13</v>
  </rv>
  <rv s="7">
    <fb>46059</fb>
    <v>12</v>
  </rv>
  <rv s="7">
    <fb>323.10000000000002</fb>
    <v>13</v>
  </rv>
  <rv s="7">
    <fb>89.95</fb>
    <v>13</v>
  </rv>
  <rv s="7">
    <fb>195.58</fb>
    <v>13</v>
  </rv>
  <rv s="7">
    <fb>79.03</fb>
    <v>13</v>
  </rv>
  <rv s="7">
    <fb>131.18</fb>
    <v>13</v>
  </rv>
  <rv s="7">
    <fb>401.14</fb>
    <v>13</v>
  </rv>
  <rv s="7">
    <fb>278.12</fb>
    <v>13</v>
  </rv>
  <rv s="7">
    <fb>332.92</fb>
    <v>13</v>
  </rv>
  <rv s="7">
    <fb>74.59</fb>
    <v>13</v>
  </rv>
  <rv s="7">
    <fb>1001.16</fb>
    <v>13</v>
  </rv>
  <rv s="7">
    <fb>210.32</fb>
    <v>13</v>
  </rv>
  <rv s="7">
    <fb>107.62</fb>
    <v>13</v>
  </rv>
  <rv s="7">
    <fb>180.86</fb>
    <v>13</v>
  </rv>
  <rv s="7">
    <fb>75.290000000000006</fb>
    <v>13</v>
  </rv>
  <rv s="7">
    <fb>46062</fb>
    <v>12</v>
  </rv>
  <rv s="7">
    <fb>324.39999999999998</fb>
    <v>13</v>
  </rv>
  <rv s="7">
    <fb>96.79</fb>
    <v>13</v>
  </rv>
  <rv s="7">
    <fb>202</fb>
    <v>13</v>
  </rv>
  <rv s="7">
    <fb>90.72</fb>
    <v>13</v>
  </rv>
  <rv s="7">
    <fb>77.97</fb>
    <v>13</v>
  </rv>
  <rv s="7">
    <fb>129.02000000000001</fb>
    <v>13</v>
  </rv>
  <rv s="7">
    <fb>413.6</fb>
    <v>13</v>
  </rv>
  <rv s="7">
    <fb>274.62</fb>
    <v>13</v>
  </rv>
  <rv s="7">
    <fb>343.94</fb>
    <v>13</v>
  </rv>
  <rv s="7">
    <fb>78.42</fb>
    <v>13</v>
  </rv>
  <rv s="7">
    <fb>997.59</fb>
    <v>13</v>
  </rv>
  <rv s="7">
    <fb>208.72</fb>
    <v>13</v>
  </rv>
  <rv s="7">
    <fb>108.7</fb>
    <v>13</v>
  </rv>
  <rv s="7">
    <fb>182.6</fb>
    <v>13</v>
  </rv>
  <rv s="7">
    <fb>77.8</fb>
    <v>13</v>
  </rv>
  <rv s="7">
    <fb>46063</fb>
    <v>12</v>
  </rv>
  <rv s="7">
    <fb>318.63</fb>
    <v>13</v>
  </rv>
  <rv s="7">
    <fb>95.11</fb>
    <v>13</v>
  </rv>
  <rv s="7">
    <fb>199.62</fb>
    <v>13</v>
  </rv>
  <rv s="7">
    <fb>89.49</fb>
    <v>13</v>
  </rv>
  <rv s="7">
    <fb>76.81</fb>
    <v>13</v>
  </rv>
  <rv s="7">
    <fb>8.11</fb>
    <v>13</v>
  </rv>
  <rv s="7">
    <fb>126.7</fb>
    <v>13</v>
  </rv>
  <rv s="7">
    <fb>413.27</fb>
    <v>13</v>
  </rv>
  <rv s="7">
    <fb>273.68</fb>
    <v>13</v>
  </rv>
  <rv s="7">
    <fb>340.44</fb>
    <v>13</v>
  </rv>
  <rv s="7">
    <fb>77.2</fb>
    <v>13</v>
  </rv>
  <rv s="7">
    <fb>971.23</fb>
    <v>13</v>
  </rv>
  <rv s="7">
    <fb>206.96</fb>
    <v>13</v>
  </rv>
  <rv s="7">
    <fb>107.5</fb>
    <v>13</v>
  </rv>
  <rv s="7">
    <fb>182.26</fb>
    <v>13</v>
  </rv>
  <rv s="7">
    <fb>77.900000000000006</fb>
    <v>13</v>
  </rv>
  <rv s="7">
    <fb>46064</fb>
    <v>12</v>
  </rv>
  <rv s="7">
    <fb>95.15</fb>
    <v>13</v>
  </rv>
  <rv s="7">
    <fb>248.51</fb>
    <v>13</v>
  </rv>
  <rv s="7">
    <fb>78.599999999999994</fb>
    <v>13</v>
  </rv>
  <rv s="7">
    <fb>8.01</fb>
    <v>13</v>
  </rv>
  <rv s="7">
    <fb>128.77000000000001</fb>
    <v>13</v>
  </rv>
  <rv s="7">
    <fb>404.37</fb>
    <v>13</v>
  </rv>
  <rv s="7">
    <fb>275.5</fb>
    <v>13</v>
  </rv>
  <rv s="7">
    <fb>342.76</fb>
    <v>13</v>
  </rv>
  <rv s="7">
    <fb>76.349999999999994</fb>
    <v>13</v>
  </rv>
  <rv s="7">
    <fb>978.14</fb>
    <v>13</v>
  </rv>
  <rv s="7">
    <fb>204.08</fb>
    <v>13</v>
  </rv>
  <rv s="7">
    <fb>111.21</fb>
    <v>13</v>
  </rv>
  <rv s="7">
    <fb>185.82</fb>
    <v>13</v>
  </rv>
  <rv s="7">
    <fb>80.23</fb>
    <v>13</v>
  </rv>
  <rv s="7">
    <fb>46065</fb>
    <v>12</v>
  </rv>
  <rv s="7">
    <fb>309.37</fb>
    <v>13</v>
  </rv>
  <rv s="7">
    <fb>95.7</fb>
    <v>13</v>
  </rv>
  <rv s="7">
    <fb>236.51</fb>
    <v>13</v>
  </rv>
  <rv s="7">
    <fb>79</fb>
    <v>13</v>
  </rv>
  <rv s="7">
    <fb>133.63999999999999</fb>
    <v>13</v>
  </rv>
  <rv s="7">
    <fb>401.84</fb>
    <v>13</v>
  </rv>
  <rv s="7">
    <fb>261.73</fb>
    <v>13</v>
  </rv>
  <rv s="7">
    <fb>331.17</fb>
    <v>13</v>
  </rv>
  <rv s="7">
    <fb>998.86</fb>
    <v>13</v>
  </rv>
  <rv s="7">
    <fb>199.6</fb>
    <v>13</v>
  </rv>
  <rv s="7">
    <fb>110.83</fb>
    <v>13</v>
  </rv>
  <rv s="7">
    <fb>182.4</fb>
    <v>13</v>
  </rv>
  <rv s="7">
    <fb>78.22</fb>
    <v>13</v>
  </rv>
  <rv s="7">
    <fb>46066</fb>
    <v>12</v>
  </rv>
  <rv s="7">
    <fb>306.02</fb>
    <v>13</v>
  </rv>
  <rv s="7">
    <fb>96.04</fb>
    <v>13</v>
  </rv>
  <rv s="7">
    <fb>234.53</fb>
    <v>13</v>
  </rv>
  <rv s="7">
    <fb>85.15</fb>
    <v>13</v>
  </rv>
  <rv s="7">
    <fb>78.680000000000007</fb>
    <v>13</v>
  </rv>
  <rv s="7">
    <fb>133.88999999999999</fb>
    <v>13</v>
  </rv>
  <rv s="7">
    <fb>401.32</fb>
    <v>13</v>
  </rv>
  <rv s="7">
    <fb>255.78</fb>
    <v>13</v>
  </rv>
  <rv s="7">
    <fb>325.17</fb>
    <v>13</v>
  </rv>
  <rv s="7">
    <fb>74.75</fb>
    <v>13</v>
  </rv>
  <rv s="7">
    <fb>1018.48</fb>
    <v>13</v>
  </rv>
  <rv s="7">
    <fb>198.79</fb>
    <v>13</v>
  </rv>
  <rv s="7">
    <fb>111.43</fb>
    <v>13</v>
  </rv>
  <rv s="7">
    <fb>183.74</fb>
    <v>13</v>
  </rv>
  <rv s="7">
    <fb>78.77</fb>
    <v>13</v>
  </rv>
  <rv s="7">
    <fb>46070</fb>
    <v>12</v>
  </rv>
  <rv s="7">
    <fb>302.82</fb>
    <v>13</v>
  </rv>
  <rv s="7">
    <fb>91</fb>
    <v>13</v>
  </rv>
  <rv s="7">
    <fb>243.53</fb>
    <v>13</v>
  </rv>
  <rv s="7">
    <fb>86.57</fb>
    <v>13</v>
  </rv>
  <rv s="7">
    <fb>79.56</fb>
    <v>13</v>
  </rv>
  <rv s="7">
    <fb>128.85</fb>
    <v>13</v>
  </rv>
  <rv s="7">
    <fb>396.86</fb>
    <v>13</v>
  </rv>
  <rv s="7">
    <fb>263.88</fb>
    <v>13</v>
  </rv>
  <rv s="7">
    <fb>332.54</fb>
    <v>13</v>
  </rv>
  <rv s="7">
    <fb>73.290000000000006</fb>
    <v>13</v>
  </rv>
  <rv s="7">
    <fb>1012.05</fb>
    <v>13</v>
  </rv>
  <rv s="7">
    <fb>201.15</fb>
    <v>13</v>
  </rv>
  <rv s="7">
    <fb>108.78</fb>
    <v>13</v>
  </rv>
  <rv s="7">
    <fb>180.55</fb>
    <v>13</v>
  </rv>
  <rv s="7">
    <fb>46071</fb>
    <v>12</v>
  </rv>
  <rv s="7">
    <fb>303.94</fb>
    <v>13</v>
  </rv>
  <rv s="7">
    <fb>95.45</fb>
    <v>13</v>
  </rv>
  <rv s="7">
    <fb>243.21</fb>
    <v>13</v>
  </rv>
  <rv s="7">
    <fb>88.1</fb>
    <v>13</v>
  </rv>
  <rv s="7">
    <fb>79.489999999999995</fb>
    <v>13</v>
  </rv>
  <rv s="7">
    <fb>126.62</fb>
    <v>13</v>
  </rv>
  <rv s="7">
    <fb>399.6</fb>
    <v>13</v>
  </rv>
  <rv s="7">
    <fb>264.35000000000002</fb>
    <v>13</v>
  </rv>
  <rv s="7">
    <fb>333.51</fb>
    <v>13</v>
  </rv>
  <rv s="7">
    <fb>996.08</fb>
    <v>13</v>
  </rv>
  <rv s="7">
    <fb>204.79</fb>
    <v>13</v>
  </rv>
  <rv s="7">
    <fb>110.52</fb>
    <v>13</v>
  </rv>
  <rv s="7">
    <fb>183.87</fb>
    <v>13</v>
  </rv>
  <rv s="7">
    <fb>79.87</fb>
    <v>13</v>
  </rv>
  <rv s="7">
    <fb>46072</fb>
    <v>12</v>
  </rv>
  <rv s="7">
    <fb>303.56</fb>
    <v>13</v>
  </rv>
  <rv s="7">
    <fb>97.14</fb>
    <v>13</v>
  </rv>
  <rv s="7">
    <fb>243.06</fb>
    <v>13</v>
  </rv>
  <rv s="7">
    <fb>86.84</fb>
    <v>13</v>
  </rv>
  <rv s="7">
    <fb>78.91</fb>
    <v>13</v>
  </rv>
  <rv s="7">
    <fb>124.87</fb>
    <v>13</v>
  </rv>
  <rv s="7">
    <fb>398.46</fb>
    <v>13</v>
  </rv>
  <rv s="7">
    <fb>260.58</fb>
    <v>13</v>
  </rv>
  <rv s="7">
    <fb>333.99</fb>
    <v>13</v>
  </rv>
  <rv s="7">
    <fb>73.989999999999995</fb>
    <v>13</v>
  </rv>
  <rv s="7">
    <fb>987.82</fb>
    <v>13</v>
  </rv>
  <rv s="7">
    <fb>204.86</fb>
    <v>13</v>
  </rv>
  <rv s="7">
    <fb>111.59</fb>
    <v>13</v>
  </rv>
  <rv s="7">
    <fb>184.78</fb>
    <v>13</v>
  </rv>
  <rv s="7">
    <fb>80.38</fb>
    <v>13</v>
  </rv>
  <rv s="7">
    <fb>46073</fb>
    <v>12</v>
  </rv>
  <rv s="7">
    <fb>314.89999999999998</fb>
    <v>13</v>
  </rv>
  <rv s="7">
    <fb>89.25</fb>
    <v>13</v>
  </rv>
  <rv s="7">
    <fb>243.75</fb>
    <v>13</v>
  </rv>
  <rv s="7">
    <fb>88.15</fb>
    <v>13</v>
  </rv>
  <rv s="7">
    <fb>79.84</fb>
    <v>13</v>
  </rv>
  <rv s="7">
    <fb>122.99</fb>
    <v>13</v>
  </rv>
  <rv s="7">
    <fb>397.23</fb>
    <v>13</v>
  </rv>
  <rv s="7">
    <fb>264.58</fb>
    <v>13</v>
  </rv>
  <rv s="7">
    <fb>332.65</fb>
    <v>13</v>
  </rv>
  <rv s="7">
    <fb>74.394999999999996</fb>
    <v>13</v>
  </rv>
  <rv s="7">
    <fb>985.27</fb>
    <v>13</v>
  </rv>
  <rv s="7">
    <fb>210.11</fb>
    <v>13</v>
  </rv>
  <rv s="7">
    <fb>110.53</fb>
    <v>13</v>
  </rv>
  <rv s="7">
    <fb>183.93</fb>
    <v>13</v>
  </rv>
  <rv s="7">
    <fb>79.78</fb>
    <v>13</v>
  </rv>
  <rv s="7">
    <fb>46076</fb>
    <v>12</v>
  </rv>
  <rv s="7">
    <fb>311.69</fb>
    <v>13</v>
  </rv>
  <rv s="7">
    <fb>90.84</fb>
    <v>13</v>
  </rv>
  <rv s="7">
    <fb>245.42</fb>
    <v>13</v>
  </rv>
  <rv s="7">
    <fb>87.4</fb>
    <v>13</v>
  </rv>
  <rv s="7">
    <fb>80.56</fb>
    <v>13</v>
  </rv>
  <rv s="7">
    <fb>125.81</fb>
    <v>13</v>
  </rv>
  <rv s="7">
    <fb>384.47</fb>
    <v>13</v>
  </rv>
  <rv s="7">
    <fb>266.18</fb>
    <v>13</v>
  </rv>
  <rv s="7">
    <fb>986.02</fb>
    <v>13</v>
  </rv>
  <rv s="7">
    <fb>205.27</fb>
    <v>13</v>
  </rv>
  <rv s="7">
    <fb>109.88</fb>
    <v>13</v>
  </rv>
  <rv s="7">
    <fb>184.91</fb>
    <v>13</v>
  </rv>
  <rv s="7">
    <fb>46077</fb>
    <v>12</v>
  </rv>
  <rv s="7">
    <fb>310.92</fb>
    <v>13</v>
  </rv>
  <rv s="7">
    <fb>99.3</fb>
    <v>13</v>
  </rv>
  <rv s="7">
    <fb>253.15</fb>
    <v>13</v>
  </rv>
  <rv s="7">
    <fb>87.88</fb>
    <v>13</v>
  </rv>
  <rv s="7">
    <fb>80.72</fb>
    <v>13</v>
  </rv>
  <rv s="7">
    <fb>126.75</fb>
    <v>13</v>
  </rv>
  <rv s="7">
    <fb>389</fb>
    <v>13</v>
  </rv>
  <rv s="7">
    <fb>272.14</fb>
    <v>13</v>
  </rv>
  <rv s="7">
    <fb>71.92</fb>
    <v>13</v>
  </rv>
  <rv s="7">
    <fb>998.43</fb>
    <v>13</v>
  </rv>
  <rv s="7">
    <fb>208.56</fb>
    <v>13</v>
  </rv>
  <rv s="7">
    <fb>110.59</fb>
    <v>13</v>
  </rv>
  <rv s="7">
    <fb>185.34</fb>
    <v>13</v>
  </rv>
  <rv s="7">
    <fb>80.78</fb>
    <v>13</v>
  </rv>
  <rv s="7">
    <fb>46078</fb>
    <v>12</v>
  </rv>
  <rv s="7">
    <fb>313.02999999999997</fb>
    <v>13</v>
  </rv>
  <rv s="7">
    <fb>98.01</fb>
    <v>13</v>
  </rv>
  <rv s="7">
    <fb>262.19</fb>
    <v>13</v>
  </rv>
  <rv s="7">
    <fb>94.2</fb>
    <v>13</v>
  </rv>
  <rv s="7">
    <fb>80.47</fb>
    <v>13</v>
  </rv>
  <rv s="7">
    <fb>125.75</fb>
    <v>13</v>
  </rv>
  <rv s="7">
    <fb>400.6</fb>
    <v>13</v>
  </rv>
  <rv s="7">
    <fb>274.23</fb>
    <v>13</v>
  </rv>
  <rv s="7">
    <fb>332.31</fb>
    <v>13</v>
  </rv>
  <rv s="7">
    <fb>73.650000000000006</fb>
    <v>13</v>
  </rv>
  <rv s="7">
    <fb>994.76</fb>
    <v>13</v>
  </rv>
  <rv s="7">
    <fb>210.64</fb>
    <v>13</v>
  </rv>
  <rv s="7">
    <fb>110.01</fb>
    <v>13</v>
  </rv>
  <rv s="7">
    <fb>184.22</fb>
    <v>13</v>
  </rv>
  <rv s="7">
    <fb>82.28</fb>
    <v>13</v>
  </rv>
  <rv s="7">
    <fb>46079</fb>
    <v>12</v>
  </rv>
  <rv s="7">
    <fb>307.14999999999998</fb>
    <v>13</v>
  </rv>
  <rv s="7">
    <fb>97.63</fb>
    <v>13</v>
  </rv>
  <rv s="7">
    <fb>259.23</fb>
    <v>13</v>
  </rv>
  <rv s="7">
    <fb>94.5</fb>
    <v>13</v>
  </rv>
  <rv s="7">
    <fb>80.5</fb>
    <v>13</v>
  </rv>
  <rv s="7">
    <fb>124.42</fb>
    <v>13</v>
  </rv>
  <rv s="7">
    <fb>401.72</fb>
    <v>13</v>
  </rv>
  <rv s="7">
    <fb>321.7</fb>
    <v>13</v>
  </rv>
  <rv s="7">
    <fb>74.56</fb>
    <v>13</v>
  </rv>
  <rv s="7">
    <fb>986.74</fb>
    <v>13</v>
  </rv>
  <rv s="7">
    <fb>207.92</fb>
    <v>13</v>
  </rv>
  <rv s="7">
    <fb>110.7</fb>
    <v>13</v>
  </rv>
  <rv s="7">
    <fb>184.16</fb>
    <v>13</v>
  </rv>
  <rv s="7">
    <fb>81.180000000000007</fb>
    <v>13</v>
  </rv>
  <rv s="7">
    <fb>46080</fb>
    <v>12</v>
  </rv>
  <rv s="7">
    <fb>311.43</fb>
    <v>13</v>
  </rv>
  <rv s="7">
    <fb>254.89</fb>
    <v>13</v>
  </rv>
  <rv s="7">
    <fb>93.16</fb>
    <v>13</v>
  </rv>
  <rv s="7">
    <fb>81.56</fb>
    <v>13</v>
  </rv>
  <rv s="7">
    <fb>7.54</fb>
    <v>13</v>
  </rv>
  <rv s="7">
    <fb>127.95</fb>
    <v>13</v>
  </rv>
  <rv s="7">
    <fb>392.74</fb>
    <v>13</v>
  </rv>
  <rv s="7">
    <fb>264.18</fb>
    <v>13</v>
  </rv>
  <rv s="7">
    <fb>319.55</fb>
    <v>13</v>
  </rv>
  <rv s="7">
    <fb>71.19</fb>
    <v>13</v>
  </rv>
  <rv s="7">
    <fb>1010.79</fb>
    <v>13</v>
  </rv>
  <rv s="7">
    <fb>210</fb>
    <v>13</v>
  </rv>
  <rv s="7">
    <fb>113.46</fb>
    <v>13</v>
  </rv>
  <rv s="7">
    <fb>186.76</fb>
    <v>13</v>
  </rv>
  <rv s="7">
    <fb>83.51</fb>
    <v>13</v>
  </rv>
  <rv s="7">
    <fb>46083</fb>
    <v>12</v>
  </rv>
  <rv s="7">
    <fb>306.36</fb>
    <v>13</v>
  </rv>
  <rv s="7">
    <fb>78.05</fb>
    <v>13</v>
  </rv>
  <rv s="7">
    <fb>257.75</fb>
    <v>13</v>
  </rv>
  <rv s="7">
    <fb>89.73</fb>
    <v>13</v>
  </rv>
  <rv s="7">
    <fb>80.22</fb>
    <v>13</v>
  </rv>
  <rv s="7">
    <fb>127.1</fb>
    <v>13</v>
  </rv>
  <rv s="7">
    <fb>398.55</fb>
    <v>13</v>
  </rv>
  <rv s="7">
    <fb>264.72000000000003</fb>
    <v>13</v>
  </rv>
  <rv s="7">
    <fb>318.82</fb>
    <v>13</v>
  </rv>
  <rv s="7">
    <fb>71.67</fb>
    <v>13</v>
  </rv>
  <rv s="7">
    <fb>1002.77</fb>
    <v>13</v>
  </rv>
  <rv s="7">
    <fb>208.39</fb>
    <v>13</v>
  </rv>
  <rv s="7">
    <fb>118.24</fb>
    <v>13</v>
  </rv>
  <rv s="7">
    <fb>189.6</fb>
    <v>13</v>
  </rv>
  <rv s="7">
    <fb>84.22</fb>
    <v>13</v>
  </rv>
  <rv s="7">
    <fb>46084</fb>
    <v>12</v>
  </rv>
  <rv s="7">
    <fb>73.78</fb>
    <v>13</v>
  </rv>
  <rv s="7">
    <fb>244.44</fb>
    <v>13</v>
  </rv>
  <rv s="7">
    <fb>85.49</fb>
    <v>13</v>
  </rv>
  <rv s="7">
    <fb>79.34</fb>
    <v>13</v>
  </rv>
  <rv s="7">
    <fb>127.91</fb>
    <v>13</v>
  </rv>
  <rv s="7">
    <fb>403.93</fb>
    <v>13</v>
  </rv>
  <rv s="7">
    <fb>263.75</fb>
    <v>13</v>
  </rv>
  <rv s="7">
    <fb>313.83999999999997</fb>
    <v>13</v>
  </rv>
  <rv s="7">
    <fb>69.400000000000006</fb>
    <v>13</v>
  </rv>
  <rv s="7">
    <fb>1007.77</fb>
    <v>13</v>
  </rv>
  <rv s="7">
    <fb>208.73</fb>
    <v>13</v>
  </rv>
  <rv s="7">
    <fb>118.52</fb>
    <v>13</v>
  </rv>
  <rv s="7">
    <fb>188.77</fb>
    <v>13</v>
  </rv>
  <rv s="7">
    <fb>82.33</fb>
    <v>13</v>
  </rv>
  <rv s="7">
    <fb>46085</fb>
    <v>12</v>
  </rv>
  <rv s="7">
    <fb>303.45</fb>
    <v>13</v>
  </rv>
  <rv s="7">
    <fb>79.5</fb>
    <v>13</v>
  </rv>
  <rv s="7">
    <fb>251.28</fb>
    <v>13</v>
  </rv>
  <rv s="7">
    <fb>87.19</fb>
    <v>13</v>
  </rv>
  <rv s="7">
    <fb>78.099999999999994</fb>
    <v>13</v>
  </rv>
  <rv s="7">
    <fb>127.81</fb>
    <v>13</v>
  </rv>
  <rv s="7">
    <fb>405.2</fb>
    <v>13</v>
  </rv>
  <rv s="7">
    <fb>262.52</fb>
    <v>13</v>
  </rv>
  <rv s="7">
    <fb>317.52999999999997</fb>
    <v>13</v>
  </rv>
  <rv s="7">
    <fb>69.150000000000006</fb>
    <v>13</v>
  </rv>
  <rv s="7">
    <fb>1006.74</fb>
    <v>13</v>
  </rv>
  <rv s="7">
    <fb>216.82</fb>
    <v>13</v>
  </rv>
  <rv s="7">
    <fb>115.65</fb>
    <v>13</v>
  </rv>
  <rv s="7">
    <fb>186.03</fb>
    <v>13</v>
  </rv>
  <rv s="7">
    <fb>82.7</fb>
    <v>13</v>
  </rv>
  <rv s="7">
    <fb>46086</fb>
    <v>12</v>
  </rv>
  <rv s="7">
    <fb>300.91000000000003</fb>
    <v>13</v>
  </rv>
  <rv s="7">
    <fb>74.819999999999993</fb>
    <v>13</v>
  </rv>
  <rv s="7">
    <fb>249.75</fb>
    <v>13</v>
  </rv>
  <rv s="7">
    <fb>7.68</fb>
    <v>13</v>
  </rv>
  <rv s="7">
    <fb>123.31</fb>
    <v>13</v>
  </rv>
  <rv s="7">
    <fb>410.68</fb>
    <v>13</v>
  </rv>
  <rv s="7">
    <fb>260.29000000000002</fb>
    <v>13</v>
  </rv>
  <rv s="7">
    <fb>332.77</fb>
    <v>13</v>
  </rv>
  <rv s="7">
    <fb>68.05</fb>
    <v>13</v>
  </rv>
  <rv s="7">
    <fb>982.57</fb>
    <v>13</v>
  </rv>
  <rv s="7">
    <fb>218.94</fb>
    <v>13</v>
  </rv>
  <rv s="7">
    <fb>116.82</fb>
    <v>13</v>
  </rv>
  <rv s="7">
    <fb>189.9</fb>
    <v>13</v>
  </rv>
  <rv s="7">
    <fb>82.94</fb>
    <v>13</v>
  </rv>
  <rv s="7">
    <fb>46087</fb>
    <v>12</v>
  </rv>
  <rv s="7">
    <fb>298.3</fb>
    <v>13</v>
  </rv>
  <rv s="7">
    <fb>72.989999999999995</fb>
    <v>13</v>
  </rv>
  <rv s="7">
    <fb>241.78</fb>
    <v>13</v>
  </rv>
  <rv s="7">
    <fb>84.05</fb>
    <v>13</v>
  </rv>
  <rv s="7">
    <fb>77.040000000000006</fb>
    <v>13</v>
  </rv>
  <rv s="7">
    <fb>123.8</fb>
    <v>13</v>
  </rv>
  <rv s="7">
    <fb>408.96</fb>
    <v>13</v>
  </rv>
  <rv s="7">
    <fb>257.45999999999998</fb>
    <v>13</v>
  </rv>
  <rv s="7">
    <fb>330.48</fb>
    <v>13</v>
  </rv>
  <rv s="7">
    <fb>66.7</fb>
    <v>13</v>
  </rv>
  <rv s="7">
    <fb>998.1</fb>
    <v>13</v>
  </rv>
  <rv s="7">
    <fb>213.21</fb>
    <v>13</v>
  </rv>
  <rv s="7">
    <fb>117.07</fb>
    <v>13</v>
  </rv>
  <rv s="7">
    <fb>189.94</fb>
    <v>13</v>
  </rv>
  <rv s="7">
    <fb>84.7</fb>
    <v>13</v>
  </rv>
  <rv s="7">
    <fb>46090</fb>
    <v>12</v>
  </rv>
  <rv s="7">
    <fb>306.01</fb>
    <v>13</v>
  </rv>
  <rv s="7">
    <fb>74.41</fb>
    <v>13</v>
  </rv>
  <rv s="7">
    <fb>7.6</fb>
    <v>13</v>
  </rv>
  <rv s="7">
    <fb>124.34</fb>
    <v>13</v>
  </rv>
  <rv s="7">
    <fb>409.41</fb>
    <v>13</v>
  </rv>
  <rv s="7">
    <fb>259.88</fb>
    <v>13</v>
  </rv>
  <rv s="7">
    <fb>345.75</fb>
    <v>13</v>
  </rv>
  <rv s="7">
    <fb>67.489999999999995</fb>
    <v>13</v>
  </rv>
  <rv s="7">
    <fb>1005.3</fb>
    <v>13</v>
  </rv>
  <rv s="7">
    <fb>213.49</fb>
    <v>13</v>
  </rv>
  <rv s="7">
    <fb>117.03</fb>
    <v>13</v>
  </rv>
  <rv s="7">
    <fb>189.44</fb>
    <v>13</v>
  </rv>
  <rv s="7">
    <fb>85.59</fb>
    <v>13</v>
  </rv>
  <rv s="7">
    <fb>46091</fb>
    <v>12</v>
  </rv>
  <rv s="7">
    <fb>306.93</fb>
    <v>13</v>
  </rv>
  <rv s="7">
    <fb>270.06</fb>
    <v>13</v>
  </rv>
  <rv s="7">
    <fb>85.84</fb>
    <v>13</v>
  </rv>
  <rv s="7">
    <fb>77.88</fb>
    <v>13</v>
  </rv>
  <rv s="7">
    <fb>7.76</fb>
    <v>13</v>
  </rv>
  <rv s="7">
    <fb>125.12</fb>
    <v>13</v>
  </rv>
  <rv s="7">
    <fb>405.76</fb>
    <v>13</v>
  </rv>
  <rv s="7">
    <fb>260.83</fb>
    <v>13</v>
  </rv>
  <rv s="7">
    <fb>342.58</fb>
    <v>13</v>
  </rv>
  <rv s="7">
    <fb>68.5</fb>
    <v>13</v>
  </rv>
  <rv s="7">
    <fb>997.36</fb>
    <v>13</v>
  </rv>
  <rv s="7">
    <fb>214.33</fb>
    <v>13</v>
  </rv>
  <rv s="7">
    <fb>114.15</fb>
    <v>13</v>
  </rv>
  <rv s="7">
    <fb>186.29</fb>
    <v>13</v>
  </rv>
  <rv s="7">
    <fb>85.11</fb>
    <v>13</v>
  </rv>
  <rv s="7">
    <fb>46092</fb>
    <v>12</v>
  </rv>
  <rv s="7">
    <fb>308.42</fb>
    <v>13</v>
  </rv>
  <rv s="7">
    <fb>81.96</fb>
    <v>13</v>
  </rv>
  <rv s="7">
    <fb>268.26</fb>
    <v>13</v>
  </rv>
  <rv s="7">
    <fb>85.97</fb>
    <v>13</v>
  </rv>
  <rv s="7">
    <fb>123.49</fb>
    <v>13</v>
  </rv>
  <rv s="7">
    <fb>404.88</fb>
    <v>13</v>
  </rv>
  <rv s="7">
    <fb>260.81</fb>
    <v>13</v>
  </rv>
  <rv s="7">
    <fb>341.57</fb>
    <v>13</v>
  </rv>
  <rv s="7">
    <fb>68.39</fb>
    <v>13</v>
  </rv>
  <rv s="7">
    <fb>992.23</fb>
    <v>13</v>
  </rv>
  <rv s="7">
    <fb>212.65</fb>
    <v>13</v>
  </rv>
  <rv s="7">
    <fb>191.79</fb>
    <v>13</v>
  </rv>
  <rv s="7">
    <fb>46093</fb>
    <v>12</v>
  </rv>
  <rv s="7">
    <fb>303.20999999999998</fb>
    <v>13</v>
  </rv>
  <rv s="7">
    <fb>79.86</fb>
    <v>13</v>
  </rv>
  <rv s="7">
    <fb>265.38</fb>
    <v>13</v>
  </rv>
  <rv s="7">
    <fb>82.16</fb>
    <v>13</v>
  </rv>
  <rv s="7">
    <fb>77.61</fb>
    <v>13</v>
  </rv>
  <rv s="7">
    <fb>7.67</fb>
    <v>13</v>
  </rv>
  <rv s="7">
    <fb>125.33</fb>
    <v>13</v>
  </rv>
  <rv s="7">
    <fb>401.86</fb>
    <v>13</v>
  </rv>
  <rv s="7">
    <fb>255.76</fb>
    <v>13</v>
  </rv>
  <rv s="7">
    <fb>335.97</fb>
    <v>13</v>
  </rv>
  <rv s="7">
    <fb>66.92</fb>
    <v>13</v>
  </rv>
  <rv s="7">
    <fb>1003.32</fb>
    <v>13</v>
  </rv>
  <rv s="7">
    <fb>209.53</fb>
    <v>13</v>
  </rv>
  <rv s="7">
    <fb>120.26</fb>
    <v>13</v>
  </rv>
  <rv s="7">
    <fb>196.97</fb>
    <v>13</v>
  </rv>
  <rv s="7">
    <fb>88.36</fb>
    <v>13</v>
  </rv>
  <rv s="7">
    <fb>46094</fb>
    <v>12</v>
  </rv>
  <rv s="7">
    <fb>301.45999999999998</fb>
    <v>13</v>
  </rv>
  <rv s="7">
    <fb>81.11</fb>
    <v>13</v>
  </rv>
  <rv s="7">
    <fb>258.88</fb>
    <v>13</v>
  </rv>
  <rv s="7">
    <fb>78.19</fb>
    <v>13</v>
  </rv>
  <rv s="7">
    <fb>77.34</fb>
    <v>13</v>
  </rv>
  <rv s="7">
    <fb>126.52</fb>
    <v>13</v>
  </rv>
  <rv s="7">
    <fb>395.55</fb>
    <v>13</v>
  </rv>
  <rv s="7">
    <fb>250.12</fb>
    <v>13</v>
  </rv>
  <rv s="7">
    <fb>66.19</fb>
    <v>13</v>
  </rv>
  <rv s="7">
    <fb>1008.43</fb>
    <v>13</v>
  </rv>
  <rv s="7">
    <fb>207.67</fb>
    <v>13</v>
  </rv>
  <rv s="7">
    <fb>121.89</fb>
    <v>13</v>
  </rv>
  <rv s="7">
    <fb>196.82</fb>
    <v>13</v>
  </rv>
  <rv s="7">
    <fb>89.43</fb>
    <v>13</v>
  </rv>
  <rv s="7">
    <fb>46097</fb>
    <v>12</v>
  </rv>
  <rv s="7">
    <fb>304.42</fb>
    <v>13</v>
  </rv>
  <rv s="7">
    <fb>85.86</fb>
    <v>13</v>
  </rv>
  <rv s="7">
    <fb>264.74</fb>
    <v>13</v>
  </rv>
  <rv s="7">
    <fb>80.31</fb>
    <v>13</v>
  </rv>
  <rv s="7">
    <fb>77.819999999999993</fb>
    <v>13</v>
  </rv>
  <rv s="7">
    <fb>7.71</fb>
    <v>13</v>
  </rv>
  <rv s="7">
    <fb>125.99</fb>
    <v>13</v>
  </rv>
  <rv s="7">
    <fb>399.95</fb>
    <v>13</v>
  </rv>
  <rv s="7">
    <fb>252.82</fb>
    <v>13</v>
  </rv>
  <rv s="7">
    <fb>324.92</fb>
    <v>13</v>
  </rv>
  <rv s="7">
    <fb>68.28</fb>
    <v>13</v>
  </rv>
  <rv s="7">
    <fb>1001.74</fb>
    <v>13</v>
  </rv>
  <rv s="7">
    <fb>211.74</fb>
    <v>13</v>
  </rv>
  <rv s="7">
    <fb>121.32</fb>
    <v>13</v>
  </rv>
  <rv s="7">
    <fb>196.84</fb>
    <v>13</v>
  </rv>
  <rv s="7">
    <fb>90.48</fb>
    <v>13</v>
  </rv>
  <rv s="7">
    <fb>46098</fb>
    <v>12</v>
  </rv>
  <rv s="7">
    <fb>309.41000000000003</fb>
    <v>13</v>
  </rv>
  <rv s="7">
    <fb>82.12</fb>
    <v>13</v>
  </rv>
  <rv s="7">
    <fb>268.41000000000003</fb>
    <v>13</v>
  </rv>
  <rv s="7">
    <fb>80.900000000000006</fb>
    <v>13</v>
  </rv>
  <rv s="7">
    <fb>7.66</fb>
    <v>13</v>
  </rv>
  <rv s="7">
    <fb>125.08</fb>
    <v>13</v>
  </rv>
  <rv s="7">
    <fb>399.41</fb>
    <v>13</v>
  </rv>
  <rv s="7">
    <fb>254.23</fb>
    <v>13</v>
  </rv>
  <rv s="7">
    <fb>321.31</fb>
    <v>13</v>
  </rv>
  <rv s="7">
    <fb>68.63</fb>
    <v>13</v>
  </rv>
  <rv s="7">
    <fb>996.16</fb>
    <v>13</v>
  </rv>
  <rv s="7">
    <fb>215.2</fb>
    <v>13</v>
  </rv>
  <rv s="7">
    <fb>122.87</fb>
    <v>13</v>
  </rv>
  <rv s="7">
    <fb>197.97</fb>
    <v>13</v>
  </rv>
  <rv s="7">
    <fb>91.97</fb>
    <v>13</v>
  </rv>
  <rv s="7">
    <fb>46099</fb>
    <v>12</v>
  </rv>
  <rv s="7">
    <fb>306.3</fb>
    <v>13</v>
  </rv>
  <rv s="7">
    <fb>82.82</fb>
    <v>13</v>
  </rv>
  <rv s="7">
    <fb>264.70999999999998</fb>
    <v>13</v>
  </rv>
  <rv s="7">
    <fb>79.94</fb>
    <v>13</v>
  </rv>
  <rv s="7">
    <fb>75.97</fb>
    <v>13</v>
  </rv>
  <rv s="7">
    <fb>121.98</fb>
    <v>13</v>
  </rv>
  <rv s="7">
    <fb>391.79</fb>
    <v>13</v>
  </rv>
  <rv s="7">
    <fb>249.94</fb>
    <v>13</v>
  </rv>
  <rv s="7">
    <fb>315.93</fb>
    <v>13</v>
  </rv>
  <rv s="7">
    <fb>68.45</fb>
    <v>13</v>
  </rv>
  <rv s="7">
    <fb>979.92</fb>
    <v>13</v>
  </rv>
  <rv s="7">
    <fb>209.87</fb>
    <v>13</v>
  </rv>
  <rv s="7">
    <fb>123.65</fb>
    <v>13</v>
  </rv>
  <rv s="7">
    <fb>198.61</fb>
    <v>13</v>
  </rv>
  <rv s="7">
    <fb>92.75</fb>
    <v>13</v>
  </rv>
  <rv s="7">
    <fb>46100</fb>
    <v>12</v>
  </rv>
  <rv s="7">
    <fb>305.73</fb>
    <v>13</v>
  </rv>
  <rv s="7">
    <fb>80.66</fb>
    <v>13</v>
  </rv>
  <rv s="7">
    <fb>269.17</fb>
    <v>13</v>
  </rv>
  <rv s="7">
    <fb>79.459999999999994</fb>
    <v>13</v>
  </rv>
  <rv s="7">
    <fb>121.09</fb>
    <v>13</v>
  </rv>
  <rv s="7">
    <fb>389.02</fb>
    <v>13</v>
  </rv>
  <rv s="7">
    <fb>248.96</fb>
    <v>13</v>
  </rv>
  <rv s="7">
    <fb>319.83999999999997</fb>
    <v>13</v>
  </rv>
  <rv s="7">
    <fb>67.69</fb>
    <v>13</v>
  </rv>
  <rv s="7">
    <fb>974.78</fb>
    <v>13</v>
  </rv>
  <rv s="7">
    <fb>208.76</fb>
    <v>13</v>
  </rv>
  <rv s="7">
    <fb>126.02</fb>
    <v>13</v>
  </rv>
  <rv s="7">
    <fb>201.44</fb>
    <v>13</v>
  </rv>
  <rv s="7">
    <fb>91.19</fb>
    <v>13</v>
  </rv>
  <rv s="7">
    <fb>46101</fb>
    <v>12</v>
  </rv>
  <rv s="7">
    <fb>298.79000000000002</fb>
    <v>13</v>
  </rv>
  <rv s="7">
    <fb>81.47</fb>
    <v>13</v>
  </rv>
  <rv s="7">
    <fb>255.88</fb>
    <v>13</v>
  </rv>
  <rv s="7">
    <fb>76.95</fb>
    <v>13</v>
  </rv>
  <rv s="7">
    <fb>7.25</fb>
    <v>13</v>
  </rv>
  <rv s="7">
    <fb>119.02</fb>
    <v>13</v>
  </rv>
  <rv s="7">
    <fb>381.87</fb>
    <v>13</v>
  </rv>
  <rv s="7">
    <fb>247.99</fb>
    <v>13</v>
  </rv>
  <rv s="7">
    <fb>65.47</fb>
    <v>13</v>
  </rv>
  <rv s="7">
    <fb>972.33</fb>
    <v>13</v>
  </rv>
  <rv s="7">
    <fb>205.37</fb>
    <v>13</v>
  </rv>
  <rv s="7">
    <fb>126.92</fb>
    <v>13</v>
  </rv>
  <rv s="7">
    <fb>201.73</fb>
    <v>13</v>
  </rv>
  <rv s="7">
    <fb>90.44</fb>
    <v>13</v>
  </rv>
  <rv s="7">
    <fb>46104</fb>
    <v>12</v>
  </rv>
  <rv s="7">
    <fb>299.02</fb>
    <v>13</v>
  </rv>
  <rv s="7">
    <fb>256</fb>
    <v>13</v>
  </rv>
  <rv s="7">
    <fb>79.83</fb>
    <v>13</v>
  </rv>
  <rv s="7">
    <fb>75.11</fb>
    <v>13</v>
  </rv>
  <rv s="7">
    <fb>7.33</fb>
    <v>13</v>
  </rv>
  <rv s="7">
    <fb>120.72</fb>
    <v>13</v>
  </rv>
  <rv s="7">
    <fb>383</fb>
    <v>13</v>
  </rv>
  <rv s="7">
    <fb>251.49</fb>
    <v>13</v>
  </rv>
  <rv s="7">
    <fb>322.51</fb>
    <v>13</v>
  </rv>
  <rv s="7">
    <fb>965.73</fb>
    <v>13</v>
  </rv>
  <rv s="7">
    <fb>210.14</fb>
    <v>13</v>
  </rv>
  <rv s="7">
    <fb>127.19</fb>
    <v>13</v>
  </rv>
  <rv s="7">
    <fb>205.21</fb>
    <v>13</v>
  </rv>
  <rv s="7">
    <fb>90.71</fb>
    <v>13</v>
  </rv>
  <rv s="7">
    <fb>46105</fb>
    <v>12</v>
  </rv>
  <rv s="7">
    <fb>289.2</fb>
    <v>13</v>
  </rv>
  <rv s="7">
    <fb>83.02</fb>
    <v>13</v>
  </rv>
  <rv s="7">
    <fb>270.89</fb>
    <v>13</v>
  </rv>
  <rv s="7">
    <fb>79.27</fb>
    <v>13</v>
  </rv>
  <rv s="7">
    <fb>74.67</fb>
    <v>13</v>
  </rv>
  <rv s="7">
    <fb>122.05</fb>
    <v>13</v>
  </rv>
  <rv s="7">
    <fb>372.74</fb>
    <v>13</v>
  </rv>
  <rv s="7">
    <fb>251.64</fb>
    <v>13</v>
  </rv>
  <rv s="7">
    <fb>318.29000000000002</fb>
    <v>13</v>
  </rv>
  <rv s="7">
    <fb>66.12</fb>
    <v>13</v>
  </rv>
  <rv s="7">
    <fb>973.82</fb>
    <v>13</v>
  </rv>
  <rv s="7">
    <fb>207.24</fb>
    <v>13</v>
  </rv>
  <rv s="7">
    <fb>129.35</fb>
    <v>13</v>
  </rv>
  <rv s="7">
    <fb>206.79</fb>
    <v>13</v>
  </rv>
  <rv s="7">
    <fb>91.12</fb>
    <v>13</v>
  </rv>
  <rv s="7">
    <fb>46106</fb>
    <v>12</v>
  </rv>
  <rv s="7">
    <fb>289.58999999999997</fb>
    <v>13</v>
  </rv>
  <rv s="7">
    <fb>87.58</fb>
    <v>13</v>
  </rv>
  <rv s="7">
    <fb>276.16000000000003</fb>
    <v>13</v>
  </rv>
  <rv s="7">
    <fb>81.22</fb>
    <v>13</v>
  </rv>
  <rv s="7">
    <fb>75.25</fb>
    <v>13</v>
  </rv>
  <rv s="7">
    <fb>7.45</fb>
    <v>13</v>
  </rv>
  <rv s="7">
    <fb>123.06</fb>
    <v>13</v>
  </rv>
  <rv s="7">
    <fb>371.04</fb>
    <v>13</v>
  </rv>
  <rv s="7">
    <fb>252.62</fb>
    <v>13</v>
  </rv>
  <rv s="7">
    <fb>318.81</fb>
    <v>13</v>
  </rv>
  <rv s="7">
    <fb>68.680000000000007</fb>
    <v>13</v>
  </rv>
  <rv s="7">
    <fb>974.86</fb>
    <v>13</v>
  </rv>
  <rv s="7">
    <fb>211.71</fb>
    <v>13</v>
  </rv>
  <rv s="7">
    <fb>128.93</fb>
    <v>13</v>
  </rv>
  <rv s="7">
    <fb>205.15</fb>
    <v>13</v>
  </rv>
  <rv s="7">
    <fb>91.88</fb>
    <v>13</v>
  </rv>
  <rv s="7">
    <fb>46107</fb>
    <v>12</v>
  </rv>
  <rv s="7">
    <fb>280.74</fb>
    <v>13</v>
  </rv>
  <rv s="7">
    <fb>252.4</fb>
    <v>13</v>
  </rv>
  <rv s="7">
    <fb>79.63</fb>
    <v>13</v>
  </rv>
  <rv s="7">
    <fb>74.69</fb>
    <v>13</v>
  </rv>
  <rv s="7">
    <fb>7.23</fb>
    <v>13</v>
  </rv>
  <rv s="7">
    <fb>122.18</fb>
    <v>13</v>
  </rv>
  <rv s="7">
    <fb>365.97</fb>
    <v>13</v>
  </rv>
  <rv s="7">
    <fb>252.89</fb>
    <v>13</v>
  </rv>
  <rv s="7">
    <fb>309.41500000000002</fb>
    <v>13</v>
  </rv>
  <rv s="7">
    <fb>66.2</fb>
    <v>13</v>
  </rv>
  <rv s="7">
    <fb>979.65</fb>
    <v>13</v>
  </rv>
  <rv s="7">
    <fb>207.54</fb>
    <v>13</v>
  </rv>
  <rv s="7">
    <fb>133.25</fb>
    <v>13</v>
  </rv>
  <rv s="7">
    <fb>207.79</fb>
    <v>13</v>
  </rv>
  <rv s="7">
    <fb>92.16</fb>
    <v>13</v>
  </rv>
  <rv s="7">
    <fb>46108</fb>
    <v>12</v>
  </rv>
  <rv s="7">
    <fb>251.07</fb>
    <v>13</v>
  </rv>
  <rv s="7">
    <fb>79.19</fb>
    <v>13</v>
  </rv>
  <rv s="7">
    <fb>75.709999999999994</fb>
    <v>13</v>
  </rv>
  <rv s="7">
    <fb>7</fb>
    <v>13</v>
  </rv>
  <rv s="7">
    <fb>122.89</fb>
    <v>13</v>
  </rv>
  <rv s="7">
    <fb>356.77</fb>
    <v>13</v>
  </rv>
  <rv s="7">
    <fb>248.8</fb>
    <v>13</v>
  </rv>
  <rv s="7">
    <fb>300.68</fb>
    <v>13</v>
  </rv>
  <rv s="7">
    <fb>64.2</fb>
    <v>13</v>
  </rv>
  <rv s="7">
    <fb>983.86</fb>
    <v>13</v>
  </rv>
  <rv s="7">
    <fb>199.34</fb>
    <v>13</v>
  </rv>
  <rv s="7">
    <fb>133.80000000000001</fb>
    <v>13</v>
  </rv>
  <rv s="7">
    <fb>211.15</fb>
    <v>13</v>
  </rv>
  <rv s="7">
    <fb>92.17</fb>
    <v>13</v>
  </rv>
  <rv s="7">
    <fb>46111</fb>
    <v>12</v>
  </rv>
  <rv s="7">
    <fb>273.14</fb>
    <v>13</v>
  </rv>
  <rv s="7">
    <fb>234.22</fb>
    <v>13</v>
  </rv>
  <rv s="7">
    <fb>79.349999999999994</fb>
    <v>13</v>
  </rv>
  <rv s="7">
    <fb>76.27</fb>
    <v>13</v>
  </rv>
  <rv s="7">
    <fb>6.9</fb>
    <v>13</v>
  </rv>
  <rv s="7">
    <fb>123.5</fb>
    <v>13</v>
  </rv>
  <rv s="7">
    <fb>358.96</fb>
    <v>13</v>
  </rv>
  <rv s="7">
    <fb>246.63</fb>
    <v>13</v>
  </rv>
  <rv s="7">
    <fb>293.41000000000003</fb>
    <v>13</v>
  </rv>
  <rv s="7">
    <fb>63.69</fb>
    <v>13</v>
  </rv>
  <rv s="7">
    <fb>996.58</fb>
    <v>13</v>
  </rv>
  <rv s="7">
    <fb>200.95</fb>
    <v>13</v>
  </rv>
  <rv s="7">
    <fb>132.88999999999999</fb>
    <v>13</v>
  </rv>
  <rv s="7">
    <fb>210.71</fb>
    <v>13</v>
  </rv>
  <rv s="7">
    <fb>92.74</fb>
    <v>13</v>
  </rv>
  <rv s="7">
    <fb>46112</fb>
    <v>12</v>
  </rv>
  <rv s="7">
    <fb>286.86</fb>
    <v>13</v>
  </rv>
  <rv s="7">
    <fb>250.58</fb>
    <v>13</v>
  </rv>
  <rv s="7">
    <fb>82.49</fb>
    <v>13</v>
  </rv>
  <rv s="7">
    <fb>76.05</fb>
    <v>13</v>
  </rv>
  <rv s="7">
    <fb>7.36</fb>
    <v>13</v>
  </rv>
  <rv s="7">
    <fb>124.28</fb>
    <v>13</v>
  </rv>
  <rv s="7">
    <fb>370.17</fb>
    <v>13</v>
  </rv>
  <rv s="7">
    <fb>253.79</fb>
    <v>13</v>
  </rv>
  <rv s="7">
    <fb>309.51</fb>
    <v>13</v>
  </rv>
  <rv s="7">
    <fb>67.069999999999993</fb>
    <v>13</v>
  </rv>
  <rv s="7">
    <fb>996.43</fb>
    <v>13</v>
  </rv>
  <rv s="7">
    <fb>208.27</fb>
    <v>13</v>
  </rv>
  <rv s="7">
    <fb>132</fb>
    <v>13</v>
  </rv>
  <rv s="7">
    <fb>206.9</fb>
    <v>13</v>
  </rv>
  <rv s="7">
    <fb>93</fb>
    <v>13</v>
  </rv>
  <rv s="7">
    <fb>46113</fb>
    <v>12</v>
  </rv>
  <rv s="7">
    <fb>294.89999999999998</fb>
    <v>13</v>
  </rv>
  <rv s="7">
    <fb>78.44</fb>
    <v>13</v>
  </rv>
  <rv s="7">
    <fb>85.46</fb>
    <v>13</v>
  </rv>
  <rv s="7">
    <fb>76.08</fb>
    <v>13</v>
  </rv>
  <rv s="7">
    <fb>7.38</fb>
    <v>13</v>
  </rv>
  <rv s="7">
    <fb>124.74</fb>
    <v>13</v>
  </rv>
  <rv s="7">
    <fb>369.37</fb>
    <v>13</v>
  </rv>
  <rv s="7">
    <fb>255.63</fb>
    <v>13</v>
  </rv>
  <rv s="7">
    <fb>313.49</fb>
    <v>13</v>
  </rv>
  <rv s="7">
    <fb>67.91</fb>
    <v>13</v>
  </rv>
  <rv s="7">
    <fb>996.56</fb>
    <v>13</v>
  </rv>
  <rv s="7">
    <fb>210.57</fb>
    <v>13</v>
  </rv>
  <rv s="7">
    <fb>128.38</fb>
    <v>13</v>
  </rv>
  <rv s="7">
    <fb>197.41</fb>
    <v>13</v>
  </rv>
  <rv s="7">
    <fb>92.03</fb>
    <v>13</v>
  </rv>
  <rv s="7">
    <fb>46114</fb>
    <v>12</v>
  </rv>
  <rv s="7">
    <fb>294.45999999999998</fb>
    <v>13</v>
  </rv>
  <rv s="7">
    <fb>82.24</fb>
    <v>13</v>
  </rv>
  <rv s="7">
    <fb>261.29000000000002</fb>
    <v>13</v>
  </rv>
  <rv s="7">
    <fb>84.41</fb>
    <v>13</v>
  </rv>
  <rv s="7">
    <fb>76.72</fb>
    <v>13</v>
  </rv>
  <rv s="7">
    <fb>125.79</fb>
    <v>13</v>
  </rv>
  <rv s="7">
    <fb>373.46</fb>
    <v>13</v>
  </rv>
  <rv s="7">
    <fb>255.92</fb>
    <v>13</v>
  </rv>
  <rv s="7">
    <fb>67.739999999999995</fb>
    <v>13</v>
  </rv>
  <rv s="7">
    <fb>1014.96</fb>
    <v>13</v>
  </rv>
  <rv s="7">
    <fb>209.77</fb>
    <v>13</v>
  </rv>
  <rv s="7">
    <fb>130.52000000000001</fb>
    <v>13</v>
  </rv>
  <rv s="7">
    <fb>198.97</fb>
    <v>13</v>
  </rv>
  <rv s="7">
    <fb>93.1</fb>
    <v>13</v>
  </rv>
  <rv s="7">
    <fb>46118</fb>
    <v>12</v>
  </rv>
  <rv s="7">
    <fb>297.66000000000003</fb>
    <v>13</v>
  </rv>
  <rv s="7">
    <fb>80.94</fb>
    <v>13</v>
  </rv>
  <rv s="7">
    <fb>258.73</fb>
    <v>13</v>
  </rv>
  <rv s="7">
    <fb>84.64</fb>
    <v>13</v>
  </rv>
  <rv s="7">
    <fb>77.22</fb>
    <v>13</v>
  </rv>
  <rv s="7">
    <fb>126.79</fb>
    <v>13</v>
  </rv>
  <rv s="7">
    <fb>372.88</fb>
    <v>13</v>
  </rv>
  <rv s="7">
    <fb>258.86</fb>
    <v>13</v>
  </rv>
  <rv s="7">
    <fb>314.43</fb>
    <v>13</v>
  </rv>
  <rv s="7">
    <fb>68.62</fb>
    <v>13</v>
  </rv>
  <rv s="7">
    <fb>1018.55</fb>
    <v>13</v>
  </rv>
  <rv s="7">
    <fb>212.79</fb>
    <v>13</v>
  </rv>
  <rv s="7">
    <fb>131.63999999999999</fb>
    <v>13</v>
  </rv>
  <rv s="7">
    <fb>198.86</fb>
    <v>13</v>
  </rv>
  <rv s="7">
    <fb>93.64</fb>
    <v>13</v>
  </rv>
  <rv s="7">
    <fb>46119</fb>
    <v>12</v>
  </rv>
  <rv s="7">
    <fb>303.93</fb>
    <v>13</v>
  </rv>
  <rv s="7">
    <fb>85.24</fb>
    <v>13</v>
  </rv>
  <rv s="7">
    <fb>262.3</fb>
    <v>13</v>
  </rv>
  <rv s="7">
    <fb>75.91</fb>
    <v>13</v>
  </rv>
  <rv s="7">
    <fb>7.39</fb>
    <v>13</v>
  </rv>
  <rv s="7">
    <fb>122.49</fb>
    <v>13</v>
  </rv>
  <rv s="7">
    <fb>372.29</fb>
    <v>13</v>
  </rv>
  <rv s="7">
    <fb>253.5</fb>
    <v>13</v>
  </rv>
  <rv s="7">
    <fb>333.97</fb>
    <v>13</v>
  </rv>
  <rv s="7">
    <fb>68.11</fb>
    <v>13</v>
  </rv>
  <rv s="7">
    <fb>1013.21</fb>
    <v>13</v>
  </rv>
  <rv s="7">
    <fb>213.77</fb>
    <v>13</v>
  </rv>
  <rv s="7">
    <fb>131.77000000000001</fb>
    <v>13</v>
  </rv>
  <rv s="7">
    <fb>201.54</fb>
    <v>13</v>
  </rv>
  <rv s="7">
    <fb>94.15</fb>
    <v>13</v>
  </rv>
  <rv s="7">
    <fb>46120</fb>
    <v>12</v>
  </rv>
  <rv s="7">
    <fb>314.74</fb>
    <v>13</v>
  </rv>
  <rv s="7">
    <fb>88.9</fb>
    <v>13</v>
  </rv>
  <rv s="7">
    <fb>281.02999999999997</fb>
    <v>13</v>
  </rv>
  <rv s="7">
    <fb>90.27</fb>
    <v>13</v>
  </rv>
  <rv s="7">
    <fb>77.290000000000006</fb>
    <v>13</v>
  </rv>
  <rv s="7">
    <fb>7.84</fb>
    <v>13</v>
  </rv>
  <rv s="7">
    <fb>127.26</fb>
    <v>13</v>
  </rv>
  <rv s="7">
    <fb>374.33</fb>
    <v>13</v>
  </rv>
  <rv s="7">
    <fb>258.89999999999998</fb>
    <v>13</v>
  </rv>
  <rv s="7">
    <fb>350.63</fb>
    <v>13</v>
  </rv>
  <rv s="7">
    <fb>72.31</fb>
    <v>13</v>
  </rv>
  <rv s="7">
    <fb>1030.27</fb>
    <v>13</v>
  </rv>
  <rv s="7">
    <fb>221.25</fb>
    <v>13</v>
  </rv>
  <rv s="7">
    <fb>125.22</fb>
    <v>13</v>
  </rv>
  <rv s="7">
    <fb>192.89</fb>
    <v>13</v>
  </rv>
  <rv s="7">
    <fb>92.01</fb>
    <v>13</v>
  </rv>
  <rv s="7">
    <fb>46121</fb>
    <v>12</v>
  </rv>
  <rv s="7">
    <fb>316.37</fb>
    <v>13</v>
  </rv>
  <rv s="7">
    <fb>92</fb>
    <v>13</v>
  </rv>
  <rv s="7">
    <fb>287.64</fb>
    <v>13</v>
  </rv>
  <rv s="7">
    <fb>78.180000000000007</fb>
    <v>13</v>
  </rv>
  <rv s="7">
    <fb>129.13</fb>
    <v>13</v>
  </rv>
  <rv s="7">
    <fb>373.07</fb>
    <v>13</v>
  </rv>
  <rv s="7">
    <fb>260.49</fb>
    <v>13</v>
  </rv>
  <rv s="7">
    <fb>354.91</fb>
    <v>13</v>
  </rv>
  <rv s="7">
    <fb>71.930000000000007</fb>
    <v>13</v>
  </rv>
  <rv s="7">
    <fb>1032.03</fb>
    <v>13</v>
  </rv>
  <rv s="7">
    <fb>233.65</fb>
    <v>13</v>
  </rv>
  <rv s="7">
    <fb>123.47</fb>
    <v>13</v>
  </rv>
  <rv s="7">
    <fb>190.36</fb>
    <v>13</v>
  </rv>
  <rv s="7">
    <fb>91.09</fb>
    <v>13</v>
  </rv>
  <rv s="7">
    <fb>46122</fb>
    <v>12</v>
  </rv>
  <rv s="7">
    <fb>315.72000000000003</fb>
    <v>13</v>
  </rv>
  <rv s="7">
    <fb>102</fb>
    <v>13</v>
  </rv>
  <rv s="7">
    <fb>295.11</fb>
    <v>13</v>
  </rv>
  <rv s="7">
    <fb>126.77</fb>
    <v>13</v>
  </rv>
  <rv s="7">
    <fb>370.87</fb>
    <v>13</v>
  </rv>
  <rv s="7">
    <fb>260.48</fb>
    <v>13</v>
  </rv>
  <rv s="7">
    <fb>371.55</fb>
    <v>13</v>
  </rv>
  <rv s="7">
    <fb>998.47</fb>
    <v>13</v>
  </rv>
  <rv s="7">
    <fb>238.38</fb>
    <v>13</v>
  </rv>
  <rv s="7">
    <fb>122.55</fb>
    <v>13</v>
  </rv>
  <rv s="7">
    <fb>188.55</fb>
    <v>13</v>
  </rv>
  <rv s="7">
    <fb>92.21</fb>
    <v>13</v>
  </rv>
  <rv s="7">
    <fb>46125</fb>
    <v>12</v>
  </rv>
  <rv s="7">
    <fb>319.20999999999998</fb>
    <v>13</v>
  </rv>
  <rv s="7">
    <fb>110.27</fb>
    <v>13</v>
  </rv>
  <rv s="7">
    <fb>299.95999999999998</fb>
    <v>13</v>
  </rv>
  <rv s="7">
    <fb>90.98</fb>
    <v>13</v>
  </rv>
  <rv s="7">
    <fb>8.0500000000000007</fb>
    <v>13</v>
  </rv>
  <rv s="7">
    <fb>124.57</fb>
    <v>13</v>
  </rv>
  <rv s="7">
    <fb>384.37</fb>
    <v>13</v>
  </rv>
  <rv s="7">
    <fb>259.2</fb>
    <v>13</v>
  </rv>
  <rv s="7">
    <fb>379.75</fb>
    <v>13</v>
  </rv>
  <rv s="7">
    <fb>74.55</fb>
    <v>13</v>
  </rv>
  <rv s="7">
    <fb>980.85</fb>
    <v>13</v>
  </rv>
  <rv s="7">
    <fb>239.89</fb>
    <v>13</v>
  </rv>
  <rv s="7">
    <fb>123.62</fb>
    <v>13</v>
  </rv>
  <rv s="7">
    <fb>191.78</fb>
    <v>13</v>
  </rv>
  <rv s="7">
    <fb>92.6</fb>
    <v>13</v>
  </rv>
  <rv s="7">
    <fb>46126</fb>
    <v>12</v>
  </rv>
  <rv s="7">
    <fb>330.58</fb>
    <v>13</v>
  </rv>
  <rv s="7">
    <fb>117.2</fb>
    <v>13</v>
  </rv>
  <rv s="7">
    <fb>75.900000000000006</fb>
    <v>13</v>
  </rv>
  <rv s="7">
    <fb>125.05</fb>
    <v>13</v>
  </rv>
  <rv s="7">
    <fb>393.11</fb>
    <v>13</v>
  </rv>
  <rv s="7">
    <fb>258.83</fb>
    <v>13</v>
  </rv>
  <rv s="7">
    <fb>380.78</fb>
    <v>13</v>
  </rv>
  <rv s="7">
    <fb>77.099999999999994</fb>
    <v>13</v>
  </rv>
  <rv s="7">
    <fb>974.8</fb>
    <v>13</v>
  </rv>
  <rv s="7">
    <fb>249.02</fb>
    <v>13</v>
  </rv>
  <rv s="7">
    <fb>118.79</fb>
    <v>13</v>
  </rv>
  <rv s="7">
    <fb>187.02</fb>
    <v>13</v>
  </rv>
  <rv s="7">
    <fb>91.36</fb>
    <v>13</v>
  </rv>
  <rv s="7">
    <fb>46127</fb>
    <v>12</v>
  </rv>
  <rv s="7">
    <fb>334.47</fb>
    <v>13</v>
  </rv>
  <rv s="7">
    <fb>118.69</fb>
    <v>13</v>
  </rv>
  <rv s="7">
    <fb>301.16000000000003</fb>
    <v>13</v>
  </rv>
  <rv s="7">
    <fb>90.93</fb>
    <v>13</v>
  </rv>
  <rv s="7">
    <fb>124.76</fb>
    <v>13</v>
  </rv>
  <rv s="7">
    <fb>411.22</fb>
    <v>13</v>
  </rv>
  <rv s="7">
    <fb>266.43</fb>
    <v>13</v>
  </rv>
  <rv s="7">
    <fb>396.72</fb>
    <v>13</v>
  </rv>
  <rv s="7">
    <fb>79.69</fb>
    <v>13</v>
  </rv>
  <rv s="7">
    <fb>984.75</fb>
    <v>13</v>
  </rv>
  <rv s="7">
    <fb>248.5</fb>
    <v>13</v>
  </rv>
  <rv s="7">
    <fb>118.92</fb>
    <v>13</v>
  </rv>
  <rv s="7">
    <fb>89.84</fb>
    <v>13</v>
  </rv>
  <rv s="7">
    <fb>46128</fb>
    <v>12</v>
  </rv>
  <rv s="7">
    <fb>119.56</fb>
    <v>13</v>
  </rv>
  <rv s="7">
    <fb>294.13</fb>
    <v>13</v>
  </rv>
  <rv s="7">
    <fb>90.52</fb>
    <v>13</v>
  </rv>
  <rv s="7">
    <fb>75.180000000000007</fb>
    <v>13</v>
  </rv>
  <rv s="7">
    <fb>8.32</fb>
    <v>13</v>
  </rv>
  <rv s="7">
    <fb>124.82</fb>
    <v>13</v>
  </rv>
  <rv s="7">
    <fb>420.26</fb>
    <v>13</v>
  </rv>
  <rv s="7">
    <fb>263.39999999999998</fb>
    <v>13</v>
  </rv>
  <rv s="7">
    <fb>398.47</fb>
    <v>13</v>
  </rv>
  <rv s="7">
    <fb>79.375</fb>
    <v>13</v>
  </rv>
  <rv s="7">
    <fb>987.21</fb>
    <v>13</v>
  </rv>
  <rv s="7">
    <fb>249.7</fb>
    <v>13</v>
  </rv>
  <rv s="7">
    <fb>121.57</fb>
    <v>13</v>
  </rv>
  <rv s="7">
    <fb>188.15</fb>
    <v>13</v>
  </rv>
  <rv s="7">
    <fb>91.5</fb>
    <v>13</v>
  </rv>
  <rv s="7">
    <fb>46129</fb>
    <v>12</v>
  </rv>
  <rv s="7">
    <fb>339.4</fb>
    <v>13</v>
  </rv>
  <rv s="7">
    <fb>116.85</fb>
    <v>13</v>
  </rv>
  <rv s="7">
    <fb>307.33999999999997</fb>
    <v>13</v>
  </rv>
  <rv s="7">
    <fb>75.739999999999995</fb>
    <v>13</v>
  </rv>
  <rv s="7">
    <fb>8.48</fb>
    <v>13</v>
  </rv>
  <rv s="7">
    <fb>127.5</fb>
    <v>13</v>
  </rv>
  <rv s="7">
    <fb>422.79</fb>
    <v>13</v>
  </rv>
  <rv s="7">
    <fb>270.23</fb>
    <v>13</v>
  </rv>
  <rv s="7">
    <fb>406.54</fb>
    <v>13</v>
  </rv>
  <rv s="7">
    <fb>81.709999999999994</fb>
    <v>13</v>
  </rv>
  <rv s="7">
    <fb>999.89</fb>
    <v>13</v>
  </rv>
  <rv s="7">
    <fb>250.56</fb>
    <v>13</v>
  </rv>
  <rv s="7">
    <fb>116.04</fb>
    <v>13</v>
  </rv>
  <rv s="7">
    <fb>183.99</fb>
    <v>13</v>
  </rv>
  <rv s="7">
    <fb>87.81</fb>
    <v>13</v>
  </rv>
  <rv s="7">
    <fb>46132</fb>
    <v>12</v>
  </rv>
  <rv s="7">
    <fb>335.4</fb>
    <v>13</v>
  </rv>
  <rv s="7">
    <fb>117.43</fb>
    <v>13</v>
  </rv>
  <rv s="7">
    <fb>314.41000000000003</fb>
    <v>13</v>
  </rv>
  <rv s="7">
    <fb>91.59</fb>
    <v>13</v>
  </rv>
  <rv s="7">
    <fb>8.41</fb>
    <v>13</v>
  </rv>
  <rv s="7">
    <fb>127.92</fb>
    <v>13</v>
  </rv>
  <rv s="7">
    <fb>418.07</fb>
    <v>13</v>
  </rv>
  <rv s="7">
    <fb>273.05</fb>
    <v>13</v>
  </rv>
  <rv s="7">
    <fb>399.63</fb>
    <v>13</v>
  </rv>
  <rv s="7">
    <fb>81.25</fb>
    <v>13</v>
  </rv>
  <rv s="7">
    <fb>997.84</fb>
    <v>13</v>
  </rv>
  <rv s="7">
    <fb>248.28</fb>
    <v>13</v>
  </rv>
  <rv s="7">
    <fb>116.45</fb>
    <v>13</v>
  </rv>
  <rv s="7">
    <fb>183.25</fb>
    <v>13</v>
  </rv>
  <rv s="7">
    <fb>88</fb>
    <v>13</v>
  </rv>
  <rv s="7">
    <fb>46133</fb>
    <v>12</v>
  </rv>
  <rv s="7">
    <fb>330.47</fb>
    <v>13</v>
  </rv>
  <rv s="7">
    <fb>115.16</fb>
    <v>13</v>
  </rv>
  <rv s="7">
    <fb>312.44</fb>
    <v>13</v>
  </rv>
  <rv s="7">
    <fb>90.64</fb>
    <v>13</v>
  </rv>
  <rv s="7">
    <fb>74.7</fb>
    <v>13</v>
  </rv>
  <rv s="7">
    <fb>8.3699999999999992</fb>
    <v>13</v>
  </rv>
  <rv s="7">
    <fb>129.6</fb>
    <v>13</v>
  </rv>
  <rv s="7">
    <fb>424.16</fb>
    <v>13</v>
  </rv>
  <rv s="7">
    <fb>266.17</fb>
    <v>13</v>
  </rv>
  <rv s="7">
    <fb>402.17</fb>
    <v>13</v>
  </rv>
  <rv s="7">
    <fb>79.62</fb>
    <v>13</v>
  </rv>
  <rv s="7">
    <fb>1005.81</fb>
    <v>13</v>
  </rv>
  <rv s="7">
    <fb>249.91</fb>
    <v>13</v>
  </rv>
  <rv s="7">
    <fb>185.98</fb>
    <v>13</v>
  </rv>
  <rv s="7">
    <fb>88.66</fb>
    <v>13</v>
  </rv>
  <rv s="7">
    <fb>46134</fb>
    <v>12</v>
  </rv>
  <rv s="7">
    <fb>337.73</fb>
    <v>13</v>
  </rv>
  <rv s="7">
    <fb>122.54</fb>
    <v>13</v>
  </rv>
  <rv s="7">
    <fb>305.14</fb>
    <v>13</v>
  </rv>
  <rv s="7">
    <fb>90.47</fb>
    <v>13</v>
  </rv>
  <rv s="7">
    <fb>8.44</fb>
    <v>13</v>
  </rv>
  <rv s="7">
    <fb>129.97999999999999</fb>
    <v>13</v>
  </rv>
  <rv s="7">
    <fb>432.92</fb>
    <v>13</v>
  </rv>
  <rv s="7">
    <fb>273.17</fb>
    <v>13</v>
  </rv>
  <rv s="7">
    <fb>422.65</fb>
    <v>13</v>
  </rv>
  <rv s="7">
    <fb>78.11</fb>
    <v>13</v>
  </rv>
  <rv s="7">
    <fb>1003.7</fb>
    <v>13</v>
  </rv>
  <rv s="7">
    <fb>255.36</fb>
    <v>13</v>
  </rv>
  <rv s="7">
    <fb>122.6</fb>
    <v>13</v>
  </rv>
  <rv s="7">
    <fb>186.32</fb>
    <v>13</v>
  </rv>
  <rv s="7">
    <fb>46135</fb>
    <v>12</v>
  </rv>
  <rv s="7">
    <fb>337.75</fb>
    <v>13</v>
  </rv>
  <rv s="7">
    <fb>117.42</fb>
    <v>13</v>
  </rv>
  <rv s="7">
    <fb>321.75</fb>
    <v>13</v>
  </rv>
  <rv s="7">
    <fb>89.64</fb>
    <v>13</v>
  </rv>
  <rv s="7">
    <fb>76.28</fb>
    <v>13</v>
  </rv>
  <rv s="7">
    <fb>8.31</fb>
    <v>13</v>
  </rv>
  <rv s="7">
    <fb>132.03</fb>
    <v>13</v>
  </rv>
  <rv s="7">
    <fb>415.75</fb>
    <v>13</v>
  </rv>
  <rv s="7">
    <fb>273.43</fb>
    <v>13</v>
  </rv>
  <rv s="7">
    <fb>419.94</fb>
    <v>13</v>
  </rv>
  <rv s="7">
    <fb>1014.38</fb>
    <v>13</v>
  </rv>
  <rv s="7">
    <fb>255.08</fb>
    <v>13</v>
  </rv>
  <rv s="7">
    <fb>124.37</fb>
    <v>13</v>
  </rv>
  <rv s="7">
    <fb>187.6</fb>
    <v>13</v>
  </rv>
  <rv s="7">
    <fb>89.27</fb>
    <v>13</v>
  </rv>
  <rv s="7">
    <fb>46136</fb>
    <v>12</v>
  </rv>
  <rv s="7">
    <fb>342.32</fb>
    <v>13</v>
  </rv>
  <rv s="7">
    <fb>110.14</fb>
    <v>13</v>
  </rv>
  <rv s="7">
    <fb>323.45999999999998</fb>
    <v>13</v>
  </rv>
  <rv s="7">
    <fb>89.69</fb>
    <v>13</v>
  </rv>
  <rv s="7">
    <fb>76.63</fb>
    <v>13</v>
  </rv>
  <rv s="7">
    <fb>8.69</fb>
    <v>13</v>
  </rv>
  <rv s="7">
    <fb>129.91999999999999</fb>
    <v>13</v>
  </rv>
  <rv s="7">
    <fb>424.62</fb>
    <v>13</v>
  </rv>
  <rv s="7">
    <fb>271.06</fb>
    <v>13</v>
  </rv>
  <rv s="7">
    <fb>422.76</fb>
    <v>13</v>
  </rv>
  <rv s="7">
    <fb>76.62</fb>
    <v>13</v>
  </rv>
  <rv s="7">
    <fb>1011.15</fb>
    <v>13</v>
  </rv>
  <rv s="7">
    <fb>263.99</fb>
    <v>13</v>
  </rv>
  <rv s="7">
    <fb>121.76</fb>
    <v>13</v>
  </rv>
  <rv s="7">
    <fb>185.21</fb>
    <v>13</v>
  </rv>
  <rv s="7">
    <fb>89.13</fb>
    <v>13</v>
  </rv>
  <rv s="7">
    <fb>46139</fb>
    <v>12</v>
  </rv>
  <rv s="7">
    <fb>348.52</fb>
    <v>13</v>
  </rv>
  <rv s="7">
    <fb>112.06</fb>
    <v>13</v>
  </rv>
  <rv s="7">
    <fb>89.96</fb>
    <v>13</v>
  </rv>
  <rv s="7">
    <fb>8.99</fb>
    <v>13</v>
  </rv>
  <rv s="7">
    <fb>127.59</fb>
    <v>13</v>
  </rv>
  <rv s="7">
    <fb>424.82</fb>
    <v>13</v>
  </rv>
  <rv s="7">
    <fb>267.61</fb>
    <v>13</v>
  </rv>
  <rv s="7">
    <fb>418.2</fb>
    <v>13</v>
  </rv>
  <rv s="7">
    <fb>77.59</fb>
    <v>13</v>
  </rv>
  <rv s="7">
    <fb>998.01</fb>
    <v>13</v>
  </rv>
  <rv s="7">
    <fb>261.12</fb>
    <v>13</v>
  </rv>
  <rv s="7">
    <fb>121.68</fb>
    <v>13</v>
  </rv>
  <rv s="7">
    <fb>86.91</fb>
    <v>13</v>
  </rv>
  <rv s="7">
    <fb>46140</fb>
    <v>12</v>
  </rv>
  <rv s="7">
    <fb>347.5</fb>
    <v>13</v>
  </rv>
  <rv s="7">
    <fb>105.53</fb>
    <v>13</v>
  </rv>
  <rv s="7">
    <fb>305.02999999999997</fb>
    <v>13</v>
  </rv>
  <rv s="7">
    <fb>89.97</fb>
    <v>13</v>
  </rv>
  <rv s="7">
    <fb>78.349999999999994</fb>
    <v>13</v>
  </rv>
  <rv s="7">
    <fb>8.9</fb>
    <v>13</v>
  </rv>
  <rv s="7">
    <fb>429.25</fb>
    <v>13</v>
  </rv>
  <rv s="7">
    <fb>270.70999999999998</fb>
    <v>13</v>
  </rv>
  <rv s="7">
    <fb>399.83</fb>
    <v>13</v>
  </rv>
  <rv s="7">
    <fb>77.489999999999995</fb>
    <v>13</v>
  </rv>
  <rv s="7">
    <fb>994</fb>
    <v>13</v>
  </rv>
  <rv s="7">
    <fb>259.7</fb>
    <v>13</v>
  </rv>
  <rv s="7">
    <fb>124.32</fb>
    <v>13</v>
  </rv>
  <rv s="7">
    <fb>188.36</fb>
    <v>13</v>
  </rv>
  <rv s="7">
    <fb>87.59</fb>
    <v>13</v>
  </rv>
  <rv s="7">
    <fb>46141</fb>
    <v>12</v>
  </rv>
  <rv s="7">
    <fb>347.31</fb>
    <v>13</v>
  </rv>
  <rv s="7">
    <fb>114.19</fb>
    <v>13</v>
  </rv>
  <rv s="7">
    <fb>306.18</fb>
    <v>13</v>
  </rv>
  <rv s="7">
    <fb>89.28</fb>
    <v>13</v>
  </rv>
  <rv s="7">
    <fb>8.67</fb>
    <v>13</v>
  </rv>
  <rv s="7">
    <fb>128.01</fb>
    <v>13</v>
  </rv>
  <rv s="7">
    <fb>424.46</fb>
    <v>13</v>
  </rv>
  <rv s="7">
    <fb>270.17</fb>
    <v>13</v>
  </rv>
  <rv s="7">
    <fb>405.45</fb>
    <v>13</v>
  </rv>
  <rv s="7">
    <fb>77.05</fb>
    <v>13</v>
  </rv>
  <rv s="7">
    <fb>998.67</fb>
    <v>13</v>
  </rv>
  <rv s="7">
    <fb>263.04000000000002</fb>
    <v>13</v>
  </rv>
  <rv s="7">
    <fb>128.25</fb>
    <v>13</v>
  </rv>
  <rv s="7">
    <fb>192.22</fb>
    <v>13</v>
  </rv>
  <rv s="7">
    <fb>88.91</fb>
    <v>13</v>
  </rv>
  <rv s="7">
    <fb>46142</fb>
    <v>12</v>
  </rv>
  <rv s="7">
    <fb>381.94</fb>
    <v>13</v>
  </rv>
  <rv s="7">
    <fb>111.6</fb>
    <v>13</v>
  </rv>
  <rv s="7">
    <fb>328.49</fb>
    <v>13</v>
  </rv>
  <rv s="7">
    <fb>91.86</fb>
    <v>13</v>
  </rv>
  <rv s="7">
    <fb>78.760000000000005</fb>
    <v>13</v>
  </rv>
  <rv s="7">
    <fb>8.4</fb>
    <v>13</v>
  </rv>
  <rv s="7">
    <fb>131.93</fb>
    <v>13</v>
  </rv>
  <rv s="7">
    <fb>407.78</fb>
    <v>13</v>
  </rv>
  <rv s="7">
    <fb>271.35000000000002</fb>
    <v>13</v>
  </rv>
  <rv s="7">
    <fb>417.43</fb>
    <v>13</v>
  </rv>
  <rv s="7">
    <fb>1014.53</fb>
    <v>13</v>
  </rv>
  <rv s="7">
    <fb>265.06</fb>
    <v>13</v>
  </rv>
  <rv s="7">
    <fb>125.78</fb>
    <v>13</v>
  </rv>
  <rv s="7">
    <fb>193.31</fb>
    <v>13</v>
  </rv>
  <rv s="7">
    <fb>90.67</fb>
    <v>13</v>
  </rv>
  <rv s="7">
    <fb>46143</fb>
    <v>12</v>
  </rv>
  <rv s="7">
    <fb>383.22</fb>
    <v>13</v>
  </rv>
  <rv s="7">
    <fb>119.01</fb>
    <v>13</v>
  </rv>
  <rv s="7">
    <fb>328.31</fb>
    <v>13</v>
  </rv>
  <rv s="7">
    <fb>91.95</fb>
    <v>13</v>
  </rv>
  <rv s="7">
    <fb>78.58</fb>
    <v>13</v>
  </rv>
  <rv s="7">
    <fb>131.6</fb>
    <v>13</v>
  </rv>
  <rv s="7">
    <fb>414.44</fb>
    <v>13</v>
  </rv>
  <rv s="7">
    <fb>280.14</fb>
    <v>13</v>
  </rv>
  <rv s="7">
    <fb>421.28</fb>
    <v>13</v>
  </rv>
  <rv s="7">
    <fb>80.459999999999994</fb>
    <v>13</v>
  </rv>
  <rv s="7">
    <fb>1011.7</fb>
    <v>13</v>
  </rv>
  <rv s="7">
    <fb>123.19</fb>
    <v>13</v>
  </rv>
  <rv s="7">
    <fb>190.63</fb>
    <v>13</v>
  </rv>
  <rv s="7">
    <fb>46146</fb>
    <v>12</v>
  </rv>
  <rv s="7">
    <fb>379.64</fb>
    <v>13</v>
  </rv>
  <rv s="7">
    <fb>125.43</fb>
    <v>13</v>
  </rv>
  <rv s="7">
    <fb>330.97</fb>
    <v>13</v>
  </rv>
  <rv s="7">
    <fb>90.13</fb>
    <v>13</v>
  </rv>
  <rv s="7">
    <fb>8.39</fb>
    <v>13</v>
  </rv>
  <rv s="7">
    <fb>130.33000000000001</fb>
    <v>13</v>
  </rv>
  <rv s="7">
    <fb>413.62</fb>
    <v>13</v>
  </rv>
  <rv s="7">
    <fb>276.83</fb>
    <v>13</v>
  </rv>
  <rv s="7">
    <fb>416.5</fb>
    <v>13</v>
  </rv>
  <rv s="7">
    <fb>81.72</fb>
    <v>13</v>
  </rv>
  <rv s="7">
    <fb>1012.79</fb>
    <v>13</v>
  </rv>
  <rv s="7">
    <fb>272.05</fb>
    <v>13</v>
  </rv>
  <rv s="7">
    <fb>124.91</fb>
    <v>13</v>
  </rv>
  <rv s="7">
    <fb>192.28</fb>
    <v>13</v>
  </rv>
  <rv s="7">
    <fb>89.26</fb>
    <v>13</v>
  </rv>
  <rv s="7">
    <fb>46147</fb>
    <v>12</v>
  </rv>
  <rv s="7">
    <fb>384.27</fb>
    <v>13</v>
  </rv>
  <rv s="7">
    <fb>127.89</fb>
    <v>13</v>
  </rv>
  <rv s="7">
    <fb>341.02</fb>
    <v>13</v>
  </rv>
  <rv s="7">
    <fb>78.48</fb>
    <v>13</v>
  </rv>
  <rv s="7">
    <fb>8.2799999999999994</fb>
    <v>13</v>
  </rv>
  <rv s="7">
    <fb>130.79</fb>
    <v>13</v>
  </rv>
  <rv s="7">
    <fb>411.38</fb>
    <v>13</v>
  </rv>
  <rv s="7">
    <fb>284.18</fb>
    <v>13</v>
  </rv>
  <rv s="7">
    <fb>427.36</fb>
    <v>13</v>
  </rv>
  <rv s="7">
    <fb>83.91</fb>
    <v>13</v>
  </rv>
  <rv s="7">
    <fb>1016.42</fb>
    <v>13</v>
  </rv>
  <rv s="7">
    <fb>273.55</fb>
    <v>13</v>
  </rv>
  <rv s="7">
    <fb>123.32</fb>
    <v>13</v>
  </rv>
  <rv s="7">
    <fb>192.64</fb>
    <v>13</v>
  </rv>
  <rv s="7">
    <fb>89.71</fb>
    <v>13</v>
  </rv>
  <rv s="7">
    <fb>46148</fb>
    <v>12</v>
  </rv>
  <rv s="7">
    <fb>395.14</fb>
    <v>13</v>
  </rv>
  <rv s="7">
    <fb>137.97999999999999</fb>
    <v>13</v>
  </rv>
  <rv s="7">
    <fb>358.92</fb>
    <v>13</v>
  </rv>
  <rv s="7">
    <fb>91.4</fb>
    <v>13</v>
  </rv>
  <rv s="7">
    <fb>79.23</fb>
    <v>13</v>
  </rv>
  <rv s="7">
    <fb>8.61</fb>
    <v>13</v>
  </rv>
  <rv s="7">
    <fb>130.08000000000001</fb>
    <v>13</v>
  </rv>
  <rv s="7">
    <fb>413.96</fb>
    <v>13</v>
  </rv>
  <rv s="7">
    <fb>287.51</fb>
    <v>13</v>
  </rv>
  <rv s="7">
    <fb>425.44</fb>
    <v>13</v>
  </rv>
  <rv s="7">
    <fb>87.04</fb>
    <v>13</v>
  </rv>
  <rv s="7">
    <fb>995.75</fb>
    <v>13</v>
  </rv>
  <rv s="7">
    <fb>274.99</fb>
    <v>13</v>
  </rv>
  <rv s="7">
    <fb>118.9</fb>
    <v>13</v>
  </rv>
  <rv s="7">
    <fb>185.16</fb>
    <v>13</v>
  </rv>
  <rv s="7">
    <fb>87.2</fb>
    <v>13</v>
  </rv>
  <rv s="7">
    <fb>46149</fb>
    <v>12</v>
  </rv>
  <rv s="7">
    <fb>395.3</fb>
    <v>13</v>
  </rv>
  <rv s="7">
    <fb>128.84</fb>
    <v>13</v>
  </rv>
  <rv s="7">
    <fb>340.01</fb>
    <v>13</v>
  </rv>
  <rv s="7">
    <fb>88.97</fb>
    <v>13</v>
  </rv>
  <rv s="7">
    <fb>78.430000000000007</fb>
    <v>13</v>
  </rv>
  <rv s="7">
    <fb>8.84</fb>
    <v>13</v>
  </rv>
  <rv s="7">
    <fb>130.19999999999999</fb>
    <v>13</v>
  </rv>
  <rv s="7">
    <fb>420.77</fb>
    <v>13</v>
  </rv>
  <rv s="7">
    <fb>287.44</fb>
    <v>13</v>
  </rv>
  <rv s="7">
    <fb>412.56</fb>
    <v>13</v>
  </rv>
  <rv s="7">
    <fb>83.71</fb>
    <v>13</v>
  </rv>
  <rv s="7">
    <fb>1012.06</fb>
    <v>13</v>
  </rv>
  <rv s="7">
    <fb>271.17</fb>
    <v>13</v>
  </rv>
  <rv s="7">
    <fb>114.88</fb>
    <v>13</v>
  </rv>
  <rv s="7">
    <fb>182.5</fb>
    <v>13</v>
  </rv>
  <rv s="7">
    <fb>84.24</fb>
    <v>13</v>
  </rv>
  <rv s="7">
    <fb>46150</fb>
    <v>12</v>
  </rv>
  <rv s="7">
    <fb>397.05</fb>
    <v>13</v>
  </rv>
  <rv s="7">
    <fb>339.97</fb>
    <v>13</v>
  </rv>
  <rv s="7">
    <fb>90.16</fb>
    <v>13</v>
  </rv>
  <rv s="7">
    <fb>9.11</fb>
    <v>13</v>
  </rv>
  <rv s="7">
    <fb>130.43</fb>
    <v>13</v>
  </rv>
  <rv s="7">
    <fb>415.12</fb>
    <v>13</v>
  </rv>
  <rv s="7">
    <fb>293.32</fb>
    <v>13</v>
  </rv>
  <rv s="7">
    <fb>430</fb>
    <v>13</v>
  </rv>
  <rv s="7">
    <fb>84.42</fb>
    <v>13</v>
  </rv>
  <rv s="7">
    <fb>1008.79</fb>
    <v>13</v>
  </rv>
  <rv s="7">
    <fb>272.68</fb>
    <v>13</v>
  </rv>
  <rv s="7">
    <fb>113.87</fb>
    <v>13</v>
  </rv>
  <rv s="7">
    <fb>181.62</fb>
    <v>13</v>
  </rv>
  <rv s="7">
    <fb>83.97</fb>
    <v>13</v>
  </rv>
  <rv s="7">
    <fb>46153</fb>
    <v>12</v>
  </rv>
  <rv s="7">
    <fb>386.77</fb>
    <v>13</v>
  </rv>
  <rv s="7">
    <fb>114.7</fb>
    <v>13</v>
  </rv>
  <rv s="7">
    <fb>367.92</fb>
    <v>13</v>
  </rv>
  <rv s="7">
    <fb>90.55</fb>
    <v>13</v>
  </rv>
  <rv s="7">
    <fb>78.66</fb>
    <v>13</v>
  </rv>
  <rv s="7">
    <fb>9.2100000000000009</fb>
    <v>13</v>
  </rv>
  <rv s="7">
    <fb>412.66</fb>
    <v>13</v>
  </rv>
  <rv s="7">
    <fb>292.68</fb>
    <v>13</v>
  </rv>
  <rv s="7">
    <fb>428.43</fb>
    <v>13</v>
  </rv>
  <rv s="7">
    <fb>84.91</fb>
    <v>13</v>
  </rv>
  <rv s="7">
    <fb>999.47</fb>
    <v>13</v>
  </rv>
  <rv s="7">
    <fb>268.99</fb>
    <v>13</v>
  </rv>
  <rv s="7">
    <fb>115.55</fb>
    <v>13</v>
  </rv>
  <rv s="7">
    <fb>184.74</fb>
    <v>13</v>
  </rv>
  <rv s="7">
    <fb>85.36</fb>
    <v>13</v>
  </rv>
  <rv s="7">
    <fb>46154</fb>
    <v>12</v>
  </rv>
  <rv s="7">
    <fb>383.82</fb>
    <v>13</v>
  </rv>
  <rv s="7">
    <fb>107.75</fb>
    <v>13</v>
  </rv>
  <rv s="7">
    <fb>367.13</fb>
    <v>13</v>
  </rv>
  <rv s="7">
    <fb>80.03</fb>
    <v>13</v>
  </rv>
  <rv s="7">
    <fb>9.1</fb>
    <v>13</v>
  </rv>
  <rv s="7">
    <fb>130.35</fb>
    <v>13</v>
  </rv>
  <rv s="7">
    <fb>407.77</fb>
    <v>13</v>
  </rv>
  <rv s="7">
    <fb>294.8</fb>
    <v>13</v>
  </rv>
  <rv s="7">
    <fb>419.3</fb>
    <v>13</v>
  </rv>
  <rv s="7">
    <fb>84.59</fb>
    <v>13</v>
  </rv>
  <rv s="7">
    <fb>1021.88</fb>
    <v>13</v>
  </rv>
  <rv s="7">
    <fb>265.82</fb>
    <v>13</v>
  </rv>
  <rv s="7">
    <fb>117.87</fb>
    <v>13</v>
  </rv>
  <rv s="7">
    <fb>185.95</fb>
    <v>13</v>
  </rv>
  <rv s="7">
    <fb>85.35</fb>
    <v>13</v>
  </rv>
  <rv s="7">
    <fb>46155</fb>
    <v>12</v>
  </rv>
  <rv s="7">
    <fb>399.04</fb>
    <v>13</v>
  </rv>
  <rv s="7">
    <fb>111.31</fb>
    <v>13</v>
  </rv>
  <rv s="7">
    <fb>369.99</fb>
    <v>13</v>
  </rv>
  <rv s="7">
    <fb>90.63</fb>
    <v>13</v>
  </rv>
  <rv s="7">
    <fb>9.41</fb>
    <v>13</v>
  </rv>
  <rv s="7">
    <fb>131.47</fb>
    <v>13</v>
  </rv>
  <rv s="7">
    <fb>405.21</fb>
    <v>13</v>
  </rv>
  <rv s="7">
    <fb>298.87</fb>
    <v>13</v>
  </rv>
  <rv s="7">
    <fb>416.79</fb>
    <v>13</v>
  </rv>
  <rv s="7">
    <fb>85.12</fb>
    <v>13</v>
  </rv>
  <rv s="7">
    <fb>1033.08</fb>
    <v>13</v>
  </rv>
  <rv s="7">
    <fb>270.13</fb>
    <v>13</v>
  </rv>
  <rv s="7">
    <fb>117.4</fb>
    <v>13</v>
  </rv>
  <rv s="7">
    <fb>186</fb>
    <v>13</v>
  </rv>
  <rv s="7">
    <fb>84.93</fb>
    <v>13</v>
  </rv>
  <rv s="7">
    <fb>46156</fb>
    <v>12</v>
  </rv>
  <rv s="7">
    <fb>397.17</fb>
    <v>13</v>
  </rv>
  <rv s="7">
    <fb>114.215</fb>
    <v>13</v>
  </rv>
  <rv s="7">
    <fb>376.23</fb>
    <v>13</v>
  </rv>
  <rv s="7">
    <fb>9.7799999999999994</fb>
    <v>13</v>
  </rv>
  <rv s="7">
    <fb>132.46</fb>
    <v>13</v>
  </rv>
  <rv s="7">
    <fb>409.43</fb>
    <v>13</v>
  </rv>
  <rv s="7">
    <fb>298.20999999999998</fb>
    <v>13</v>
  </rv>
  <rv s="7">
    <fb>439.79</fb>
    <v>13</v>
  </rv>
  <rv s="7">
    <fb>88.28</fb>
    <v>13</v>
  </rv>
  <rv s="7">
    <fb>1041.25</fb>
    <v>13</v>
  </rv>
  <rv s="7">
    <fb>267.22000000000003</fb>
    <v>13</v>
  </rv>
  <rv s="7">
    <fb>118.97</fb>
    <v>13</v>
  </rv>
  <rv s="7">
    <fb>186.64</fb>
    <v>13</v>
  </rv>
  <rv s="7">
    <fb>84.51</fb>
    <v>13</v>
  </rv>
  <rv s="7">
    <fb>46157</fb>
    <v>12</v>
  </rv>
  <rv s="7">
    <fb>393.32</fb>
    <v>13</v>
  </rv>
  <rv s="7">
    <fb>107.3</fb>
    <v>13</v>
  </rv>
  <rv s="7">
    <fb>370.94</fb>
    <v>13</v>
  </rv>
  <rv s="7">
    <fb>88.38</fb>
    <v>13</v>
  </rv>
  <rv s="7">
    <fb>80.819999999999993</fb>
    <v>13</v>
  </rv>
  <rv s="7">
    <fb>9.59</fb>
    <v>13</v>
  </rv>
  <rv s="7">
    <fb>131.44999999999999</fb>
    <v>13</v>
  </rv>
  <rv s="7">
    <fb>421.92</fb>
    <v>13</v>
  </rv>
  <rv s="7">
    <fb>300.23</fb>
    <v>13</v>
  </rv>
  <rv s="7">
    <fb>425.19</fb>
    <v>13</v>
  </rv>
  <rv s="7">
    <fb>1048.95</fb>
    <v>13</v>
  </rv>
  <rv s="7">
    <fb>264.14</fb>
    <v>13</v>
  </rv>
  <rv s="7">
    <fb>122.41</fb>
    <v>13</v>
  </rv>
  <rv s="7">
    <fb>191.1</fb>
    <v>13</v>
  </rv>
  <rv s="7">
    <fb>46160</fb>
    <v>12</v>
  </rv>
  <rv s="7">
    <fb>103.77</fb>
    <v>13</v>
  </rv>
  <rv s="7">
    <fb>339.73</fb>
    <v>13</v>
  </rv>
  <rv s="7">
    <fb>81.2</fb>
    <v>13</v>
  </rv>
  <rv s="7">
    <fb>9.27</fb>
    <v>13</v>
  </rv>
  <rv s="7">
    <fb>133.34</fb>
    <v>13</v>
  </rv>
  <rv s="7">
    <fb>423.54</fb>
    <v>13</v>
  </rv>
  <rv s="7">
    <fb>297.83999999999997</fb>
    <v>13</v>
  </rv>
  <rv s="7">
    <fb>420.71</fb>
    <v>13</v>
  </rv>
  <rv s="7">
    <fb>86.12</fb>
    <v>13</v>
  </rv>
  <rv s="7">
    <fb>1076.47</fb>
    <v>13</v>
  </rv>
  <rv s="7">
    <fb>264.86</fb>
    <v>13</v>
  </rv>
  <rv s="7">
    <fb>124.54</fb>
    <v>13</v>
  </rv>
  <rv s="7">
    <fb>196.12</fb>
    <v>13</v>
  </rv>
  <rv s="7">
    <fb>88.59</fb>
    <v>13</v>
  </rv>
  <rv s="7">
    <fb>46161</fb>
    <v>12</v>
  </rv>
  <rv s="7">
    <fb>384.9</fb>
    <v>13</v>
  </rv>
  <rv s="7">
    <fb>99.81</fb>
    <v>13</v>
  </rv>
  <rv s="7">
    <fb>322.63</fb>
    <v>13</v>
  </rv>
  <rv s="7">
    <fb>88.47</fb>
    <v>13</v>
  </rv>
  <rv s="7">
    <fb>81.92</fb>
    <v>13</v>
  </rv>
  <rv s="7">
    <fb>9.26</fb>
    <v>13</v>
  </rv>
  <rv s="7">
    <fb>134.19999999999999</fb>
    <v>13</v>
  </rv>
  <rv s="7">
    <fb>417.42</fb>
    <v>13</v>
  </rv>
  <rv s="7">
    <fb>298.97000000000003</fb>
    <v>13</v>
  </rv>
  <rv s="7">
    <fb>411.07</fb>
    <v>13</v>
  </rv>
  <rv s="7">
    <fb>83.45</fb>
    <v>13</v>
  </rv>
  <rv s="7">
    <fb>1094.32</fb>
    <v>13</v>
  </rv>
  <rv s="7">
    <fb>259.33999999999997</fb>
    <v>13</v>
  </rv>
  <rv s="7">
    <fb>125.11</fb>
    <v>13</v>
  </rv>
  <rv s="7">
    <fb>197.25</fb>
    <v>13</v>
  </rv>
  <rv s="7">
    <fb>88.46</fb>
    <v>13</v>
  </rv>
  <rv s="7">
    <fb>46162</fb>
    <v>12</v>
  </rv>
  <rv s="7">
    <fb>101.28</fb>
    <v>13</v>
  </rv>
  <rv s="7">
    <fb>91.99</fb>
    <v>13</v>
  </rv>
  <rv s="7">
    <fb>81.55</fb>
    <v>13</v>
  </rv>
  <rv s="7">
    <fb>9.43</fb>
    <v>13</v>
  </rv>
  <rv s="7">
    <fb>130.85</fb>
    <v>13</v>
  </rv>
  <rv s="7">
    <fb>421.06</fb>
    <v>13</v>
  </rv>
  <rv s="7">
    <fb>302.25</fb>
    <v>13</v>
  </rv>
  <rv s="7">
    <fb>417.76</fb>
    <v>13</v>
  </rv>
  <rv s="7">
    <fb>83.79</fb>
    <v>13</v>
  </rv>
  <rv s="7">
    <fb>1074.01</fb>
    <v>13</v>
  </rv>
  <rv s="7">
    <fb>265.01</fb>
    <v>13</v>
  </rv>
  <rv s="7">
    <fb>122.36</fb>
    <v>13</v>
  </rv>
  <rv s="7">
    <fb>191.33</fb>
    <v>13</v>
  </rv>
  <rv s="7">
    <fb>86.72</fb>
    <v>13</v>
  </rv>
  <rv s="7">
    <fb>46163</fb>
    <v>12</v>
  </rv>
  <rv s="7">
    <fb>383.47</fb>
    <v>13</v>
  </rv>
  <rv s="7">
    <fb>107.58</fb>
    <v>13</v>
  </rv>
  <rv s="7">
    <fb>323.39999999999998</fb>
    <v>13</v>
  </rv>
  <rv s="7">
    <fb>92.05</fb>
    <v>13</v>
  </rv>
  <rv s="7">
    <fb>81.17</fb>
    <v>13</v>
  </rv>
  <rv s="7">
    <fb>9.19</fb>
    <v>13</v>
  </rv>
  <rv s="7">
    <fb>121.34</fb>
    <v>13</v>
  </rv>
  <rv s="7">
    <fb>419.09</fb>
    <v>13</v>
  </rv>
  <rv s="7">
    <fb>304.99</fb>
    <v>13</v>
  </rv>
  <rv s="7">
    <fb>414.57</fb>
    <v>13</v>
  </rv>
  <rv s="7">
    <fb>83.83</fb>
    <v>13</v>
  </rv>
  <rv s="7">
    <fb>1050.45</fb>
    <v>13</v>
  </rv>
  <rv s="7">
    <fb>268.45999999999998</fb>
    <v>13</v>
  </rv>
  <rv s="7">
    <fb>120.55</fb>
    <v>13</v>
  </rv>
  <rv s="7">
    <fb>191.01</fb>
    <v>13</v>
  </rv>
  <rv s="7">
    <fb>86.93</fb>
    <v>13</v>
  </rv>
  <rv s="7">
    <fb>46164</fb>
    <v>12</v>
  </rv>
  <rv s="7">
    <fb>379.38</fb>
    <v>13</v>
  </rv>
  <rv s="7">
    <fb>105.49</fb>
    <v>13</v>
  </rv>
  <rv s="7">
    <fb>327.45999999999998</fb>
    <v>13</v>
  </rv>
  <rv s="7">
    <fb>92.02</fb>
    <v>13</v>
  </rv>
  <rv s="7">
    <fb>81.48</fb>
    <v>13</v>
  </rv>
  <rv s="7">
    <fb>9.02</fb>
    <v>13</v>
  </rv>
  <rv s="7">
    <fb>120.27</fb>
    <v>13</v>
  </rv>
  <rv s="7">
    <fb>418.57</fb>
    <v>13</v>
  </rv>
  <rv s="7">
    <fb>308.82</fb>
    <v>13</v>
  </rv>
  <rv s="7">
    <fb>414.14</fb>
    <v>13</v>
  </rv>
  <rv s="7">
    <fb>81.349999999999994</fb>
    <v>13</v>
  </rv>
  <rv s="7">
    <fb>1028.24</fb>
    <v>13</v>
  </rv>
  <rv s="7">
    <fb>266.32</fb>
    <v>13</v>
  </rv>
  <rv s="7">
    <fb>120.46</fb>
    <v>13</v>
  </rv>
  <rv s="7">
    <fb>191.43</fb>
    <v>13</v>
  </rv>
  <rv s="7">
    <fb>85.71</fb>
    <v>13</v>
  </rv>
  <rv s="7">
    <fb>46168</fb>
    <v>12</v>
  </rv>
  <rv s="7">
    <fb>384.84</fb>
    <v>13</v>
  </rv>
  <rv s="7">
    <fb>105.89</fb>
    <v>13</v>
  </rv>
  <rv s="7">
    <fb>323.91000000000003</fb>
    <v>13</v>
  </rv>
  <rv s="7">
    <fb>93.74</fb>
    <v>13</v>
  </rv>
  <rv s="7">
    <fb>8.92</fb>
    <v>13</v>
  </rv>
  <rv s="7">
    <fb>118.57</fb>
    <v>13</v>
  </rv>
  <rv s="7">
    <fb>416.03</fb>
    <v>13</v>
  </rv>
  <rv s="7">
    <fb>308.33</fb>
    <v>13</v>
  </rv>
  <rv s="7">
    <fb>422.01</fb>
    <v>13</v>
  </rv>
  <rv s="7">
    <fb>82.89</fb>
    <v>13</v>
  </rv>
  <rv s="7">
    <fb>1002.93</fb>
    <v>13</v>
  </rv>
  <rv s="7">
    <fb>265.29000000000002</fb>
    <v>13</v>
  </rv>
  <rv s="7">
    <fb>184.71</fb>
    <v>13</v>
  </rv>
  <rv s="7">
    <fb>85.03</fb>
    <v>13</v>
  </rv>
  <rv s="7">
    <fb>46169</fb>
    <v>12</v>
  </rv>
  <rv s="7">
    <fb>384.83</fb>
    <v>13</v>
  </rv>
  <rv s="7">
    <fb>104.27</fb>
    <v>13</v>
  </rv>
  <rv s="7">
    <fb>319.77999999999997</fb>
    <v>13</v>
  </rv>
  <rv s="7">
    <fb>94.68</fb>
    <v>13</v>
  </rv>
  <rv s="7">
    <fb>81.62</fb>
    <v>13</v>
  </rv>
  <rv s="7">
    <fb>118.54</fb>
    <v>13</v>
  </rv>
  <rv s="7">
    <fb>412.67</fb>
    <v>13</v>
  </rv>
  <rv s="7">
    <fb>310.85000000000002</fb>
    <v>13</v>
  </rv>
  <rv s="7">
    <fb>421.86</fb>
    <v>13</v>
  </rv>
  <rv s="7">
    <fb>80.95</fb>
    <v>13</v>
  </rv>
  <rv s="7">
    <fb>1003.69</fb>
    <v>13</v>
  </rv>
  <rv s="7">
    <fb>271.85000000000002</fb>
    <v>13</v>
  </rv>
  <rv s="7">
    <fb>115.13</fb>
    <v>13</v>
  </rv>
  <rv s="7">
    <fb>83.81</fb>
    <v>13</v>
  </rv>
  <rv s="7">
    <fb>46170</fb>
    <v>12</v>
  </rv>
  <rv s="7">
    <fb>386.12</fb>
    <v>13</v>
  </rv>
  <rv s="7">
    <fb>106.86</fb>
    <v>13</v>
  </rv>
  <rv s="7">
    <fb>314.18</fb>
    <v>13</v>
  </rv>
  <rv s="7">
    <fb>92.95</fb>
    <v>13</v>
  </rv>
  <rv s="7">
    <fb>80.41</fb>
    <v>13</v>
  </rv>
  <rv s="7">
    <fb>8.9700000000000006</fb>
    <v>13</v>
  </rv>
  <rv s="7">
    <fb>426.99</fb>
    <v>13</v>
  </rv>
  <rv s="7">
    <fb>312.51</fb>
    <v>13</v>
  </rv>
  <rv s="7">
    <fb>426.58</fb>
    <v>13</v>
  </rv>
  <rv s="7">
    <fb>83.11</fb>
    <v>13</v>
  </rv>
  <rv s="7">
    <fb>995.2</fb>
    <v>13</v>
  </rv>
  <rv s="7">
    <fb>274</fb>
    <v>13</v>
  </rv>
  <rv s="7">
    <fb>114.99</fb>
    <v>13</v>
  </rv>
  <rv s="7">
    <fb>183.03</fb>
    <v>13</v>
  </rv>
  <rv s="7">
    <fb>46171</fb>
    <v>12</v>
  </rv>
  <rv s="7">
    <fb>376.43</fb>
    <v>13</v>
  </rv>
  <rv s="7">
    <fb>109.53</fb>
    <v>13</v>
  </rv>
  <rv s="7">
    <fb>315.70999999999998</fb>
    <v>13</v>
  </rv>
  <rv s="7">
    <fb>79.010000000000005</fb>
    <v>13</v>
  </rv>
  <rv s="7">
    <fb>450.24</fb>
    <v>13</v>
  </rv>
  <rv s="7">
    <fb>312.06</fb>
    <v>13</v>
  </rv>
  <rv s="7">
    <fb>446.77</fb>
    <v>13</v>
  </rv>
  <rv s="7">
    <fb>86.97</fb>
    <v>13</v>
  </rv>
  <rv s="7">
    <fb>956.32</fb>
    <v>13</v>
  </rv>
  <rv s="7">
    <fb>270.64</fb>
    <v>13</v>
  </rv>
  <rv s="7">
    <fb>113.98</fb>
    <v>13</v>
  </rv>
  <rv s="7">
    <fb>182.46</fb>
    <v>13</v>
  </rv>
  <rv s="7">
    <fb>84.12</fb>
    <v>13</v>
  </rv>
  <rv s="7">
    <fb>46174</fb>
    <v>12</v>
  </rv>
  <rv s="7">
    <fb>372.58</fb>
    <v>13</v>
  </rv>
  <rv s="7">
    <fb>323.39</fb>
    <v>13</v>
  </rv>
  <rv s="7">
    <fb>93.18</fb>
    <v>13</v>
  </rv>
  <rv s="7">
    <fb>78.64</fb>
    <v>13</v>
  </rv>
  <rv s="7">
    <fb>9.51</fb>
    <v>13</v>
  </rv>
  <rv s="7">
    <fb>114.6</fb>
    <v>13</v>
  </rv>
  <rv s="7">
    <fb>460.52</fb>
    <v>13</v>
  </rv>
  <rv s="7">
    <fb>306.31</fb>
    <v>13</v>
  </rv>
  <rv s="7">
    <fb>459.97</fb>
    <v>13</v>
  </rv>
  <rv s="7">
    <fb>946.11</fb>
    <v>13</v>
  </rv>
  <rv s="7">
    <fb>261.26</fb>
    <v>13</v>
  </rv>
  <rv s="7">
    <fb>115.58</fb>
    <v>13</v>
  </rv>
  <rv s="7">
    <fb>185.83</fb>
    <v>13</v>
  </rv>
  <rv s="7">
    <fb>85.41</fb>
    <v>13</v>
  </rv>
  <rv s="7">
    <fb>46175</fb>
    <v>12</v>
  </rv>
  <rv s="7">
    <fb>119.27</fb>
    <v>13</v>
  </rv>
  <rv s="7">
    <fb>334.49</fb>
    <v>13</v>
  </rv>
  <rv s="7">
    <fb>95.21</fb>
    <v>13</v>
  </rv>
  <rv s="7">
    <fb>78.41</fb>
    <v>13</v>
  </rv>
  <rv s="7">
    <fb>9.36</fb>
    <v>13</v>
  </rv>
  <rv s="7">
    <fb>113.06</fb>
    <v>13</v>
  </rv>
  <rv s="7">
    <fb>441.31</fb>
    <v>13</v>
  </rv>
  <rv s="7">
    <fb>315.2</fb>
    <v>13</v>
  </rv>
  <rv s="7">
    <fb>481.57</fb>
    <v>13</v>
  </rv>
  <rv s="7">
    <fb>954.27</fb>
    <v>13</v>
  </rv>
  <rv s="7">
    <fb>256.52</fb>
    <v>13</v>
  </rv>
  <rv s="7">
    <fb>116.87</fb>
    <v>13</v>
  </rv>
  <rv s="7">
    <fb>187.55</fb>
    <v>13</v>
  </rv>
  <rv s="7">
    <fb>86.82</fb>
    <v>13</v>
  </rv>
  <rv s="7">
    <fb>46176</fb>
    <v>12</v>
  </rv>
  <rv s="7">
    <fb>355.68</fb>
    <v>13</v>
  </rv>
  <rv s="7">
    <fb>110.93</fb>
    <v>13</v>
  </rv>
  <rv s="7">
    <fb>331.44</fb>
    <v>13</v>
  </rv>
  <rv s="7">
    <fb>9.42</fb>
    <v>13</v>
  </rv>
  <rv s="7">
    <fb>116.89</fb>
    <v>13</v>
  </rv>
  <rv s="7">
    <fb>427.34</fb>
    <v>13</v>
  </rv>
  <rv s="7">
    <fb>310.26</fb>
    <v>13</v>
  </rv>
  <rv s="7">
    <fb>479.23</fb>
    <v>13</v>
  </rv>
  <rv s="7">
    <fb>87.15</fb>
    <v>13</v>
  </rv>
  <rv s="7">
    <fb>961.83</fb>
    <v>13</v>
  </rv>
  <rv s="7">
    <fb>250.02</fb>
    <v>13</v>
  </rv>
  <rv s="7">
    <fb>119.05</fb>
    <v>13</v>
  </rv>
  <rv s="7">
    <fb>189.71</fb>
    <v>13</v>
  </rv>
  <rv s="7">
    <fb>86.77</fb>
    <v>13</v>
  </rv>
  <rv s="7">
    <fb>46177</fb>
    <v>12</v>
  </rv>
  <rv s="7">
    <fb>369.27</fb>
    <v>13</v>
  </rv>
  <rv s="7">
    <fb>108.03</fb>
    <v>13</v>
  </rv>
  <rv s="7">
    <fb>323.92</fb>
    <v>13</v>
  </rv>
  <rv s="7">
    <fb>92.62</fb>
    <v>13</v>
  </rv>
  <rv s="7">
    <fb>76.819999999999993</fb>
    <v>13</v>
  </rv>
  <rv s="7">
    <fb>9.18</fb>
    <v>13</v>
  </rv>
  <rv s="7">
    <fb>117.74</fb>
    <v>13</v>
  </rv>
  <rv s="7">
    <fb>428.05</fb>
    <v>13</v>
  </rv>
  <rv s="7">
    <fb>311.23</fb>
    <v>13</v>
  </rv>
  <rv s="7">
    <fb>418.91</fb>
    <v>13</v>
  </rv>
  <rv s="7">
    <fb>87.06</fb>
    <v>13</v>
  </rv>
  <rv s="7">
    <fb>972.35</fb>
    <v>13</v>
  </rv>
  <rv s="7">
    <fb>119.23</fb>
    <v>13</v>
  </rv>
  <rv s="7">
    <fb>188.35</fb>
    <v>13</v>
  </rv>
  <rv s="7">
    <fb>86.73</fb>
    <v>13</v>
  </rv>
  <rv s="7">
    <fb>46178</fb>
    <v>12</v>
  </rv>
  <rv s="7">
    <fb>365.76</fb>
    <v>13</v>
  </rv>
  <rv s="7">
    <fb>100.39</fb>
    <v>13</v>
  </rv>
  <rv s="7">
    <fb>300.51</fb>
    <v>13</v>
  </rv>
  <rv s="7">
    <fb>90.8</fb>
    <v>13</v>
  </rv>
  <rv s="7">
    <fb>79.48</fb>
    <v>13</v>
  </rv>
  <rv s="7">
    <fb>8.7200000000000006</fb>
    <v>13</v>
  </rv>
  <rv s="7">
    <fb>118.88</fb>
    <v>13</v>
  </rv>
  <rv s="7">
    <fb>416.67</fb>
    <v>13</v>
  </rv>
  <rv s="7">
    <fb>385.73</fb>
    <v>13</v>
  </rv>
  <rv s="7">
    <fb>84.4</fb>
    <v>13</v>
  </rv>
  <rv s="7">
    <fb>971.87</fb>
    <v>13</v>
  </rv>
  <rv s="7">
    <fb>246.03</fb>
    <v>13</v>
  </rv>
  <rv s="7">
    <fb>117.14</fb>
    <v>13</v>
  </rv>
  <rv s="7">
    <fb>187.31</fb>
    <v>13</v>
  </rv>
  <rv s="7">
    <fb>85.4</fb>
    <v>13</v>
  </rv>
  <rv s="7">
    <fb>46181</fb>
    <v>12</v>
  </rv>
  <rv s="7">
    <fb>361.17</fb>
    <v>13</v>
  </rv>
  <rv s="7">
    <fb>102.37</fb>
    <v>13</v>
  </rv>
  <rv s="7">
    <fb>300.57</fb>
    <v>13</v>
  </rv>
  <rv s="7">
    <fb>91.53</fb>
    <v>13</v>
  </rv>
  <rv s="7">
    <fb>79.540000000000006</fb>
    <v>13</v>
  </rv>
  <rv s="7">
    <fb>119.83</fb>
    <v>13</v>
  </rv>
  <rv s="7">
    <fb>411.74</fb>
    <v>13</v>
  </rv>
  <rv s="7">
    <fb>301.54000000000002</fb>
    <v>13</v>
  </rv>
  <rv s="7">
    <fb>396.6</fb>
    <v>13</v>
  </rv>
  <rv s="7">
    <fb>87.35</fb>
    <v>13</v>
  </rv>
  <rv s="7">
    <fb>974.75</fb>
    <v>13</v>
  </rv>
  <rv s="7">
    <fb>245.22</fb>
    <v>13</v>
  </rv>
  <rv s="7">
    <fb>118.89</fb>
    <v>13</v>
  </rv>
  <rv s="7">
    <fb>189.24</fb>
    <v>13</v>
  </rv>
  <rv s="7">
    <fb>86.65</fb>
    <v>13</v>
  </rv>
  <rv s="7">
    <fb>46182</fb>
    <v>12</v>
  </rv>
  <rv s="7">
    <fb>362.29</fb>
    <v>13</v>
  </rv>
  <rv s="7">
    <fb>289.52</fb>
    <v>13</v>
  </rv>
  <rv s="7">
    <fb>89.34</fb>
    <v>13</v>
  </rv>
  <rv s="7">
    <fb>81.34</fb>
    <v>13</v>
  </rv>
  <rv s="7">
    <fb>403.41</fb>
    <v>13</v>
  </rv>
  <rv s="7">
    <fb>290.55</fb>
    <v>13</v>
  </rv>
  <rv s="7">
    <fb>392.16</fb>
    <v>13</v>
  </rv>
  <rv s="7">
    <fb>86.33</fb>
    <v>13</v>
  </rv>
  <rv s="7">
    <fb>968.59</fb>
    <v>13</v>
  </rv>
  <rv s="7">
    <fb>244.19</fb>
    <v>13</v>
  </rv>
  <rv s="7">
    <fb>46183</fb>
    <v>12</v>
  </rv>
  <rv s="7">
    <fb>353.32</fb>
    <v>13</v>
  </rv>
  <rv s="7">
    <fb>95.61</fb>
    <v>13</v>
  </rv>
  <rv s="7">
    <fb>280.98</fb>
    <v>13</v>
  </rv>
  <rv s="7">
    <fb>86.16</fb>
    <v>13</v>
  </rv>
  <rv s="7">
    <fb>83.59</fb>
    <v>13</v>
  </rv>
  <rv s="7">
    <fb>8.3800000000000008</fb>
    <v>13</v>
  </rv>
  <rv s="7">
    <fb>120.59</fb>
    <v>13</v>
  </rv>
  <rv s="7">
    <fb>397.36</fb>
    <v>13</v>
  </rv>
  <rv s="7">
    <fb>291.58</fb>
    <v>13</v>
  </rv>
  <rv s="7">
    <fb>372.1</fb>
    <v>13</v>
  </rv>
  <rv s="7">
    <fb>85.42</fb>
    <v>13</v>
  </rv>
  <rv s="7">
    <fb>983.37</fb>
    <v>13</v>
  </rv>
  <rv s="7">
    <fb>238</fb>
    <v>13</v>
  </rv>
  <rv s="7">
    <fb>119.92</fb>
    <v>13</v>
  </rv>
  <rv s="7">
    <fb>189.8</fb>
    <v>13</v>
  </rv>
  <rv s="7">
    <fb>86.05</fb>
    <v>13</v>
  </rv>
  <rv s="7">
    <fb>46184</fb>
    <v>12</v>
  </rv>
  <rv s="7">
    <fb>356.56</fb>
    <v>13</v>
  </rv>
  <rv s="7">
    <fb>95.74</fb>
    <v>13</v>
  </rv>
  <rv s="7">
    <fb>297.88</fb>
    <v>13</v>
  </rv>
  <rv s="7">
    <fb>8.56</fb>
    <v>13</v>
  </rv>
  <rv s="7">
    <fb>120.5</fb>
    <v>13</v>
  </rv>
  <rv s="7">
    <fb>390.34</fb>
    <v>13</v>
  </rv>
  <rv s="7">
    <fb>295.63</fb>
    <v>13</v>
  </rv>
  <rv s="7">
    <fb>385.57</fb>
    <v>13</v>
  </rv>
  <rv s="7">
    <fb>88.83</fb>
    <v>13</v>
  </rv>
  <rv s="7">
    <fb>975.69</fb>
    <v>13</v>
  </rv>
  <rv s="7">
    <fb>241.51</fb>
    <v>13</v>
  </rv>
  <rv s="7">
    <fb>115.36</fb>
    <v>13</v>
  </rv>
  <rv s="7">
    <fb>85.85</fb>
    <v>13</v>
  </rv>
  <rv s="7">
    <fb>46185</fb>
    <v>12</v>
  </rv>
  <rv s="7">
    <fb>358.16</fb>
    <v>13</v>
  </rv>
  <rv s="7">
    <fb>100.55</fb>
    <v>13</v>
  </rv>
  <rv s="7">
    <fb>302.87</fb>
    <v>13</v>
  </rv>
  <rv s="7">
    <fb>92.67</fb>
    <v>13</v>
  </rv>
  <rv s="7">
    <fb>82.62</fb>
    <v>13</v>
  </rv>
  <rv s="7">
    <fb>121.04</fb>
    <v>13</v>
  </rv>
  <rv s="7">
    <fb>390.74</fb>
    <v>13</v>
  </rv>
  <rv s="7">
    <fb>291.13</fb>
    <v>13</v>
  </rv>
  <rv s="7">
    <fb>382.07</fb>
    <v>13</v>
  </rv>
  <rv s="7">
    <fb>90.81</fb>
    <v>13</v>
  </rv>
  <rv s="7">
    <fb>982.35</fb>
    <v>13</v>
  </rv>
  <rv s="7">
    <fb>238.55</fb>
    <v>13</v>
  </rv>
  <rv s="7">
    <fb>116.98</fb>
    <v>13</v>
  </rv>
  <rv s="7">
    <fb>187.22</fb>
    <v>13</v>
  </rv>
  <rv s="7">
    <fb>160.94999999999999</fb>
    <v>13</v>
  </rv>
  <rv s="7">
    <fb>46188</fb>
    <v>12</v>
  </rv>
  <rv s="7">
    <fb>367.11</fb>
    <v>13</v>
  </rv>
  <rv s="7">
    <fb>106.71</fb>
    <v>13</v>
  </rv>
  <rv s="7">
    <fb>311.93</fb>
    <v>13</v>
  </rv>
  <rv s="7">
    <fb>92.92</fb>
    <v>13</v>
  </rv>
  <rv s="7">
    <fb>80.91</fb>
    <v>13</v>
  </rv>
  <rv s="7">
    <fb>120.82</fb>
    <v>13</v>
  </rv>
  <rv s="7">
    <fb>399.76</fb>
    <v>13</v>
  </rv>
  <rv s="7">
    <fb>296.42</fb>
    <v>13</v>
  </rv>
  <rv s="7">
    <fb>393.94</fb>
    <v>13</v>
  </rv>
  <rv s="7">
    <fb>92.76</fb>
    <v>13</v>
  </rv>
  <rv s="7">
    <fb>979.45</fb>
    <v>13</v>
  </rv>
  <rv s="7">
    <fb>246.02</fb>
    <v>13</v>
  </rv>
  <rv s="7">
    <fb>112.26</fb>
    <v>13</v>
  </rv>
  <rv s="7">
    <fb>180.4</fb>
    <v>13</v>
  </rv>
  <rv s="7">
    <fb>82.61</fb>
    <v>13</v>
  </rv>
  <rv s="7">
    <fb>192.5</fb>
    <v>13</v>
  </rv>
  <rv s="7">
    <fb>46189</fb>
    <v>12</v>
  </rv>
  <rv s="7">
    <fb>371.1</fb>
    <v>13</v>
  </rv>
  <rv s="7">
    <fb>299.60000000000002</fb>
    <v>13</v>
  </rv>
  <rv s="7">
    <fb>94.45</fb>
    <v>13</v>
  </rv>
  <rv s="7">
    <fb>80.28</fb>
    <v>13</v>
  </rv>
  <rv s="7">
    <fb>8.7100000000000009</fb>
    <v>13</v>
  </rv>
  <rv s="7">
    <fb>121.03</fb>
    <v>13</v>
  </rv>
  <rv s="7">
    <fb>393.83</fb>
    <v>13</v>
  </rv>
  <rv s="7">
    <fb>299.24</fb>
    <v>13</v>
  </rv>
  <rv s="7">
    <fb>376.71</fb>
    <v>13</v>
  </rv>
  <rv s="7">
    <fb>986.68</fb>
    <v>13</v>
  </rv>
  <rv s="7">
    <fb>246</fb>
    <v>13</v>
  </rv>
  <rv s="7">
    <fb>111.34</fb>
    <v>13</v>
  </rv>
  <rv s="7">
    <fb>180.11</fb>
    <v>13</v>
  </rv>
  <rv s="7">
    <fb>82.25</fb>
    <v>13</v>
  </rv>
  <rv s="7">
    <fb>201.8</fb>
    <v>13</v>
  </rv>
  <rv s="7">
    <fb>46190</fb>
    <v>12</v>
  </rv>
  <rv s="7">
    <fb>362.1</fb>
    <v>13</v>
  </rv>
  <rv s="7">
    <fb>115.21</fb>
    <v>13</v>
  </rv>
  <rv s="7">
    <fb>317.58</fb>
    <v>13</v>
  </rv>
  <rv s="7">
    <fb>95.23</fb>
    <v>13</v>
  </rv>
  <rv s="7">
    <fb>79.930000000000007</fb>
    <v>13</v>
  </rv>
  <rv s="7">
    <fb>118.13</fb>
    <v>13</v>
  </rv>
  <rv s="7">
    <fb>378.91</fb>
    <v>13</v>
  </rv>
  <rv s="7">
    <fb>295.95</fb>
    <v>13</v>
  </rv>
  <rv s="7">
    <fb>392.9</fb>
    <v>13</v>
  </rv>
  <rv s="7">
    <fb>95.09</fb>
    <v>13</v>
  </rv>
  <rv s="7">
    <fb>965.59</fb>
    <v>13</v>
  </rv>
  <rv s="7">
    <fb>237.5</fb>
    <v>13</v>
  </rv>
  <rv s="7">
    <fb>177.58</fb>
    <v>13</v>
  </rv>
  <rv s="7">
    <fb>191.82</fb>
    <v>13</v>
  </rv>
  <rv s="7">
    <fb>46191</fb>
    <v>12</v>
  </rv>
  <rv s="7">
    <fb>367.46</fb>
    <v>13</v>
  </rv>
  <rv s="7">
    <fb>117.95</fb>
    <v>13</v>
  </rv>
  <rv s="7">
    <fb>333.05</fb>
    <v>13</v>
  </rv>
  <rv s="7">
    <fb>94.97</fb>
    <v>13</v>
  </rv>
  <rv s="7">
    <fb>79.39</fb>
    <v>13</v>
  </rv>
  <rv s="7">
    <fb>8.82</fb>
    <v>13</v>
  </rv>
  <rv s="7">
    <fb>117.18</fb>
    <v>13</v>
  </rv>
  <rv s="7">
    <fb>379.4</fb>
    <v>13</v>
  </rv>
  <rv s="7">
    <fb>298.01</fb>
    <v>13</v>
  </rv>
  <rv s="7">
    <fb>411.35</fb>
    <v>13</v>
  </rv>
  <rv s="7">
    <fb>96</fb>
    <v>13</v>
  </rv>
  <rv s="7">
    <fb>951.45</fb>
    <v>13</v>
  </rv>
  <rv s="7">
    <fb>244.39</fb>
    <v>13</v>
  </rv>
  <rv s="7">
    <fb>107.74</fb>
    <v>13</v>
  </rv>
  <rv s="7">
    <fb>173.63</fb>
    <v>13</v>
  </rv>
  <rv s="7">
    <fb>78.81</fb>
    <v>13</v>
  </rv>
  <rv s="7">
    <fb>185</fb>
    <v>13</v>
  </rv>
  <rv s="7">
    <fb>46195</fb>
    <v>12</v>
  </rv>
  <rv s="7">
    <fb>348.78</fb>
    <v>13</v>
  </rv>
  <rv s="7">
    <fb>111.29</fb>
    <v>13</v>
  </rv>
  <rv s="7">
    <fb>357.96</fb>
    <v>13</v>
  </rv>
  <rv s="7">
    <fb>96.51</fb>
    <v>13</v>
  </rv>
  <rv s="7">
    <fb>79.53</fb>
    <v>13</v>
  </rv>
  <rv s="7">
    <fb>8.77</fb>
    <v>13</v>
  </rv>
  <rv s="7">
    <fb>367.34</fb>
    <v>13</v>
  </rv>
  <rv s="7">
    <fb>297.01</fb>
    <v>13</v>
  </rv>
  <rv s="7">
    <fb>392.13</fb>
    <v>13</v>
  </rv>
  <rv s="7">
    <fb>96.82</fb>
    <v>13</v>
  </rv>
  <rv s="7">
    <fb>951.35</fb>
    <v>13</v>
  </rv>
  <rv s="7">
    <fb>232.79</fb>
    <v>13</v>
  </rv>
  <rv s="7">
    <fb>109.7</fb>
    <v>13</v>
  </rv>
  <rv s="7">
    <fb>175.06</fb>
    <v>13</v>
  </rv>
  <rv s="7">
    <fb>79.66</fb>
    <v>13</v>
  </rv>
  <rv s="7">
    <fb>154.6</fb>
    <v>13</v>
  </rv>
  <rv s="7">
    <fb>46196</fb>
    <v>12</v>
  </rv>
  <rv s="7">
    <fb>346.08</fb>
    <v>13</v>
  </rv>
  <rv s="7">
    <fb>105.72</fb>
    <v>13</v>
  </rv>
  <rv s="7">
    <fb>318.32</fb>
    <v>13</v>
  </rv>
  <rv s="7">
    <fb>95.59</fb>
    <v>13</v>
  </rv>
  <rv s="7">
    <fb>119.42</fb>
    <v>13</v>
  </rv>
  <rv s="7">
    <fb>373.94</fb>
    <v>13</v>
  </rv>
  <rv s="7">
    <fb>294.3</fb>
    <v>13</v>
  </rv>
  <rv s="7">
    <fb>380.15</fb>
    <v>13</v>
  </rv>
  <rv s="7">
    <fb>94.7</fb>
    <v>13</v>
  </rv>
  <rv s="7">
    <fb>957.68</fb>
    <v>13</v>
  </rv>
  <rv s="7">
    <fb>234.11</fb>
    <v>13</v>
  </rv>
  <rv s="7">
    <fb>109.97</fb>
    <v>13</v>
  </rv>
  <rv s="7">
    <fb>175.98</fb>
    <v>13</v>
  </rv>
  <rv s="7">
    <fb>79.510000000000005</fb>
    <v>13</v>
  </rv>
  <rv s="7">
    <fb>156.11000000000001</fb>
    <v>13</v>
  </rv>
  <rv s="7">
    <fb>46197</fb>
    <v>12</v>
  </rv>
  <rv s="7">
    <fb>345.04</fb>
    <v>13</v>
  </rv>
  <rv s="7">
    <fb>100.88</fb>
    <v>13</v>
  </rv>
  <rv s="7">
    <fb>316.43</fb>
    <v>13</v>
  </rv>
  <rv s="7">
    <fb>93.85</fb>
    <v>13</v>
  </rv>
  <rv s="7">
    <fb>80.599999999999994</fb>
    <v>13</v>
  </rv>
  <rv s="7">
    <fb>119</fb>
    <v>13</v>
  </rv>
  <rv s="7">
    <fb>365.46</fb>
    <v>13</v>
  </rv>
  <rv s="7">
    <fb>293.08</fb>
    <v>13</v>
  </rv>
  <rv s="7">
    <fb>92.79</fb>
    <v>13</v>
  </rv>
  <rv s="7">
    <fb>961.09</fb>
    <v>13</v>
  </rv>
  <rv s="7">
    <fb>234.27</fb>
    <v>13</v>
  </rv>
  <rv s="7">
    <fb>106.92</fb>
    <v>13</v>
  </rv>
  <rv s="7">
    <fb>171.45</fb>
    <v>13</v>
  </rv>
  <rv s="7">
    <fb>77.7</fb>
    <v>13</v>
  </rv>
  <rv s="7">
    <fb>154.54</fb>
    <v>13</v>
  </rv>
  <rv s="7">
    <fb>46198</fb>
    <v>12</v>
  </rv>
  <rv s="7">
    <fb>342.19</fb>
    <v>13</v>
  </rv>
  <rv s="7">
    <fb>98.76</fb>
    <v>13</v>
  </rv>
  <rv s="7">
    <fb>325.57</fb>
    <v>13</v>
  </rv>
  <rv s="7">
    <fb>95.06</fb>
    <v>13</v>
  </rv>
  <rv s="7">
    <fb>80.42</fb>
    <v>13</v>
  </rv>
  <rv s="7">
    <fb>8.15</fb>
    <v>13</v>
  </rv>
  <rv s="7">
    <fb>115.78</fb>
    <v>13</v>
  </rv>
  <rv s="7">
    <fb>352.83</fb>
    <v>13</v>
  </rv>
  <rv s="7">
    <fb>275.14999999999998</fb>
    <v>13</v>
  </rv>
  <rv s="7">
    <fb>942.24</fb>
    <v>13</v>
  </rv>
  <rv s="7">
    <fb>227.01</fb>
    <v>13</v>
  </rv>
  <rv s="7">
    <fb>106.41</fb>
    <v>13</v>
  </rv>
  <rv s="7">
    <fb>172.24</fb>
    <v>13</v>
  </rv>
  <rv s="7">
    <fb>77.33</fb>
    <v>13</v>
  </rv>
  <rv s="7">
    <fb>153</fb>
    <v>13</v>
  </rv>
  <rv s="7">
    <fb>46199</fb>
    <v>12</v>
  </rv>
  <rv s="7">
    <fb>334.69</fb>
    <v>13</v>
  </rv>
  <rv s="7">
    <fb>96.58</fb>
    <v>13</v>
  </rv>
  <rv s="7">
    <fb>303.95</fb>
    <v>13</v>
  </rv>
  <rv s="7">
    <fb>93.75</fb>
    <v>13</v>
  </rv>
  <rv s="7">
    <fb>82.63</fb>
    <v>13</v>
  </rv>
  <rv s="7">
    <fb>8.08</fb>
    <v>13</v>
  </rv>
  <rv s="7">
    <fb>115.69</fb>
    <v>13</v>
  </rv>
  <rv s="7">
    <fb>283.77999999999997</fb>
    <v>13</v>
  </rv>
  <rv s="7">
    <fb>365.02</fb>
    <v>13</v>
  </rv>
  <rv s="7">
    <fb>89.82</fb>
    <v>13</v>
  </rv>
  <rv s="7">
    <fb>952.54</fb>
    <v>13</v>
  </rv>
  <rv s="7">
    <fb>232.69</fb>
    <v>13</v>
  </rv>
  <rv s="7">
    <fb>105.96</fb>
    <v>13</v>
  </rv>
  <rv s="7">
    <fb>171.06</fb>
    <v>13</v>
  </rv>
  <rv s="7">
    <fb>76.53</fb>
    <v>13</v>
  </rv>
  <rv s="7">
    <fb>153.22999999999999</fb>
    <v>13</v>
  </rv>
  <rv s="7">
    <fb>46202</fb>
    <v>12</v>
  </rv>
  <rv s="7">
    <fb>351.28</fb>
    <v>13</v>
  </rv>
  <rv s="7">
    <fb>95.51</fb>
    <v>13</v>
  </rv>
  <rv s="7">
    <fb>306.97000000000003</fb>
    <v>13</v>
  </rv>
  <rv s="7">
    <fb>95.08</fb>
    <v>13</v>
  </rv>
  <rv s="7">
    <fb>82.65</fb>
    <v>13</v>
  </rv>
  <rv s="7">
    <fb>368.57</fb>
    <v>13</v>
  </rv>
  <rv s="7">
    <fb>281.74</fb>
    <v>13</v>
  </rv>
  <rv s="7">
    <fb>372.45</fb>
    <v>13</v>
  </rv>
  <rv s="7">
    <fb>88.2</fb>
    <v>13</v>
  </rv>
  <rv s="7">
    <fb>946.68</fb>
    <v>13</v>
  </rv>
  <rv s="7">
    <fb>240.14</fb>
    <v>13</v>
  </rv>
  <rv s="7">
    <fb>104.2</fb>
    <v>13</v>
  </rv>
  <rv s="7">
    <fb>168.47</fb>
    <v>13</v>
  </rv>
  <rv s="7">
    <fb>164.19</fb>
    <v>13</v>
  </rv>
  <rv s="7">
    <fb>46203</fb>
    <v>12</v>
  </rv>
  <rv s="7">
    <fb>353.33</fb>
    <v>13</v>
  </rv>
  <rv s="7">
    <fb>99.54</fb>
    <v>13</v>
  </rv>
  <rv s="7">
    <fb>334.82</fb>
    <v>13</v>
  </rv>
  <rv s="7">
    <fb>81.27</fb>
    <v>13</v>
  </rv>
  <rv s="7">
    <fb>8.33</fb>
    <v>13</v>
  </rv>
  <rv s="7">
    <fb>113.26</fb>
    <v>13</v>
  </rv>
  <rv s="7">
    <fb>373.02</fb>
    <v>13</v>
  </rv>
  <rv s="7">
    <fb>289.36</fb>
    <v>13</v>
  </rv>
  <rv s="7">
    <fb>377.75</fb>
    <v>13</v>
  </rv>
  <rv s="7">
    <fb>935.47</fb>
    <v>13</v>
  </rv>
  <rv s="7">
    <fb>238.34</fb>
    <v>13</v>
  </rv>
  <rv s="7">
    <fb>103.96</fb>
    <v>13</v>
  </rv>
  <rv s="7">
    <fb>165.76</fb>
    <v>13</v>
  </rv>
  <rv s="7">
    <fb>77.540000000000006</fb>
    <v>13</v>
  </rv>
  <rv s="7">
    <fb>46204</fb>
    <v>12</v>
  </rv>
  <rv s="7">
    <fb>357.89</fb>
    <v>13</v>
  </rv>
  <rv s="7">
    <fb>85.685000000000002</fb>
    <v>13</v>
  </rv>
  <rv s="7">
    <fb>311.42</fb>
    <v>13</v>
  </rv>
  <rv s="7">
    <fb>95.81</fb>
    <v>13</v>
  </rv>
  <rv s="7">
    <fb>81.290000000000006</fb>
    <v>13</v>
  </rv>
  <rv s="7">
    <fb>8.5</fb>
    <v>13</v>
  </rv>
  <rv s="7">
    <fb>108.82</fb>
    <v>13</v>
  </rv>
  <rv s="7">
    <fb>384.28</fb>
    <v>13</v>
  </rv>
  <rv s="7">
    <fb>294.38</fb>
    <v>13</v>
  </rv>
  <rv s="7">
    <fb>369.34</fb>
    <v>13</v>
  </rv>
  <rv s="7">
    <fb>93.25</fb>
    <v>13</v>
  </rv>
  <rv s="7">
    <fb>924.67</fb>
    <v>13</v>
  </rv>
  <rv s="7">
    <fb>241.7</fb>
    <v>13</v>
  </rv>
  <rv s="7">
    <fb>103.22</fb>
    <v>13</v>
  </rv>
  <rv s="7">
    <fb>165.69</fb>
    <v>13</v>
  </rv>
  <rv s="7">
    <fb>76.569999999999993</fb>
    <v>13</v>
  </rv>
  <rv s="7">
    <fb>157.54</fb>
    <v>13</v>
  </rv>
  <rv s="7">
    <fb>46205</fb>
    <v>12</v>
  </rv>
  <rv s="7">
    <fb>356.18</fb>
    <v>13</v>
  </rv>
  <rv s="7">
    <fb>81.745000000000005</fb>
    <v>13</v>
  </rv>
  <rv s="7">
    <fb>300.52999999999997</fb>
    <v>13</v>
  </rv>
  <rv s="7">
    <fb>96.78</fb>
    <v>13</v>
  </rv>
  <rv s="7">
    <fb>84.14</fb>
    <v>13</v>
  </rv>
  <rv s="7">
    <fb>111.84</fb>
    <v>13</v>
  </rv>
  <rv s="7">
    <fb>390.49</fb>
    <v>13</v>
  </rv>
  <rv s="7">
    <fb>308.63</fb>
    <v>13</v>
  </rv>
  <rv s="7">
    <fb>360.45</fb>
    <v>13</v>
  </rv>
  <rv s="7">
    <fb>91.33</fb>
    <v>13</v>
  </rv>
  <rv s="7">
    <fb>951.67</fb>
    <v>13</v>
  </rv>
  <rv s="7">
    <fb>242.67</fb>
    <v>13</v>
  </rv>
  <rv s="7">
    <fb>104.73</fb>
    <v>13</v>
  </rv>
  <rv s="7">
    <fb>169.2</fb>
    <v>13</v>
  </rv>
  <rv s="7">
    <fb>78.02</fb>
    <v>13</v>
  </rv>
  <rv s="7">
    <fb>162</fb>
    <v>13</v>
  </rv>
  <rv s="7">
    <fb>46209</fb>
    <v>12</v>
  </rv>
  <rv s="7">
    <fb>364.9</fb>
    <v>13</v>
  </rv>
  <rv s="7">
    <fb>86.46</fb>
    <v>13</v>
  </rv>
  <rv s="7">
    <fb>98.74</fb>
    <v>13</v>
  </rv>
  <rv s="7">
    <fb>82.96</fb>
    <v>13</v>
  </rv>
  <rv s="7">
    <fb>110.65</fb>
    <v>13</v>
  </rv>
  <rv s="7">
    <fb>386.74</fb>
    <v>13</v>
  </rv>
  <rv s="7">
    <fb>312.66000000000003</fb>
    <v>13</v>
  </rv>
  <rv s="7">
    <fb>373.9</fb>
    <v>13</v>
  </rv>
  <rv s="7">
    <fb>95.99</fb>
    <v>13</v>
  </rv>
  <rv s="7">
    <fb>950.25</fb>
    <v>13</v>
  </rv>
  <rv s="7">
    <fb>244.16</fb>
    <v>13</v>
  </rv>
  <rv s="7">
    <fb>103.58</fb>
    <v>13</v>
  </rv>
  <rv s="7">
    <fb>168.1</fb>
    <v>13</v>
  </rv>
  <rv s="7">
    <fb>78.14</fb>
    <v>13</v>
  </rv>
  <rv s="7">
    <fb>160.41999999999999</fb>
    <v>13</v>
  </rv>
  <rv s="7">
    <fb>46210</fb>
    <v>12</v>
  </rv>
  <rv s="7">
    <fb>363.62</fb>
    <v>13</v>
  </rv>
  <rv s="7">
    <fb>83.53</fb>
    <v>13</v>
  </rv>
  <rv s="7">
    <fb>305.58</fb>
    <v>13</v>
  </rv>
  <rv s="7">
    <fb>97.4</fb>
    <v>13</v>
  </rv>
  <rv s="7">
    <fb>8.23</fb>
    <v>13</v>
  </rv>
  <rv s="7">
    <fb>111.54</fb>
    <v>13</v>
  </rv>
  <rv s="7">
    <fb>388.84</fb>
    <v>13</v>
  </rv>
  <rv s="7">
    <fb>310.66000000000003</fb>
    <v>13</v>
  </rv>
  <rv s="7">
    <fb>370.78</fb>
    <v>13</v>
  </rv>
  <rv s="7">
    <fb>94.57</fb>
    <v>13</v>
  </rv>
  <rv s="7">
    <fb>947.5</fb>
    <v>13</v>
  </rv>
  <rv s="7">
    <fb>245.98</fb>
    <v>13</v>
  </rv>
  <rv s="7">
    <fb>108.44</fb>
    <v>13</v>
  </rv>
  <rv s="7">
    <fb>174.01</fb>
    <v>13</v>
  </rv>
  <rv s="7">
    <fb>81.99</fb>
    <v>13</v>
  </rv>
  <rv s="7">
    <fb>149.47</fb>
    <v>13</v>
  </rv>
  <rv s="7">
    <fb>46211</fb>
    <v>12</v>
  </rv>
  <rv s="7">
    <fb>358.71</fb>
    <v>13</v>
  </rv>
  <rv s="7">
    <fb>90</fb>
    <v>13</v>
  </rv>
  <rv s="7">
    <fb>317.81</fb>
    <v>13</v>
  </rv>
  <rv s="7">
    <fb>96.09</fb>
    <v>13</v>
  </rv>
  <rv s="7">
    <fb>83.4</fb>
    <v>13</v>
  </rv>
  <rv s="7">
    <fb>8.5500000000000007</fb>
    <v>13</v>
  </rv>
  <rv s="7">
    <fb>113.1</fb>
    <v>13</v>
  </rv>
  <rv s="7">
    <fb>383.34</fb>
    <v>13</v>
  </rv>
  <rv s="7">
    <fb>313.39</fb>
    <v>13</v>
  </rv>
  <rv s="7">
    <fb>388.69</fb>
    <v>13</v>
  </rv>
  <rv s="7">
    <fb>93.4</fb>
    <v>13</v>
  </rv>
  <rv s="7">
    <fb>953.13</fb>
    <v>13</v>
  </rv>
  <rv s="7">
    <fb>243.62</fb>
    <v>13</v>
  </rv>
  <rv s="7">
    <fb>110.72</fb>
    <v>13</v>
  </rv>
  <rv s="7">
    <fb>175.97</fb>
    <v>13</v>
  </rv>
  <rv s="7">
    <fb>148.30000000000001</fb>
    <v>13</v>
  </rv>
  <rv s="7">
    <fb>46212</fb>
    <v>12</v>
  </rv>
  <rv s="7">
    <fb>356.24</fb>
    <v>13</v>
  </rv>
  <rv s="7">
    <fb>89.7</fb>
    <v>13</v>
  </rv>
  <rv s="7">
    <fb>98.02</fb>
    <v>13</v>
  </rv>
  <rv s="7">
    <fb>112.21</fb>
    <v>13</v>
  </rv>
  <rv s="7">
    <fb>384.36</fb>
    <v>13</v>
  </rv>
  <rv s="7">
    <fb>316.22000000000003</fb>
    <v>13</v>
  </rv>
  <rv s="7">
    <fb>401.11</fb>
    <v>13</v>
  </rv>
  <rv s="7">
    <fb>95.28</fb>
    <v>13</v>
  </rv>
  <rv s="7">
    <fb>912.97</fb>
    <v>13</v>
  </rv>
  <rv s="7">
    <fb>247.04</fb>
    <v>13</v>
  </rv>
  <rv s="7">
    <fb>108.02</fb>
    <v>13</v>
  </rv>
  <rv s="7">
    <fb>174.05</fb>
    <v>13</v>
  </rv>
  <rv s="7">
    <fb>81.400000000000006</fb>
    <v>13</v>
  </rv>
  <rv s="7">
    <fb>152.16</fb>
    <v>13</v>
  </rv>
  <rv s="7">
    <fb>46213</fb>
    <v>12</v>
  </rv>
  <rv s="7">
    <fb>355.03</fb>
    <v>13</v>
  </rv>
  <rv s="7">
    <fb>88.88</fb>
    <v>13</v>
  </rv>
  <rv s="7">
    <fb>318.86</fb>
    <v>13</v>
  </rv>
  <rv s="7">
    <fb>99.09</fb>
    <v>13</v>
  </rv>
  <rv s="7">
    <fb>83.49</fb>
    <v>13</v>
  </rv>
  <rv s="7">
    <fb>113.9</fb>
    <v>13</v>
  </rv>
  <rv s="7">
    <fb>385.1</fb>
    <v>13</v>
  </rv>
  <rv s="7">
    <fb>399.97</fb>
    <v>13</v>
  </rv>
  <rv s="7">
    <fb>94.09</fb>
    <v>13</v>
  </rv>
  <rv s="7">
    <fb>916.25</fb>
    <v>13</v>
  </rv>
  <rv s="7">
    <fb>245.34</fb>
    <v>13</v>
  </rv>
  <rv s="7">
    <fb>109.04</fb>
    <v>13</v>
  </rv>
  <rv s="7">
    <fb>176.4</fb>
    <v>13</v>
  </rv>
  <rv s="7">
    <fb>82.23</fb>
    <v>13</v>
  </rv>
  <rv s="7">
    <fb>145.30000000000001</fb>
    <v>13</v>
  </rv>
  <rv s="7">
    <fb>46216</fb>
    <v>12</v>
  </rv>
  <rv s="7">
    <fb>350.67</fb>
    <v>13</v>
  </rv>
  <rv s="7">
    <fb>83.31</fb>
    <v>13</v>
  </rv>
  <rv s="7">
    <fb>305.87</fb>
    <v>13</v>
  </rv>
  <rv s="7">
    <fb>98.09</fb>
    <v>13</v>
  </rv>
  <rv s="7">
    <fb>84.25</fb>
    <v>13</v>
  </rv>
  <rv s="7">
    <fb>114.78</fb>
    <v>13</v>
  </rv>
  <rv s="7">
    <fb>390.99</fb>
    <v>13</v>
  </rv>
  <rv s="7">
    <fb>317.31</fb>
    <v>13</v>
  </rv>
  <rv s="7">
    <fb>384.05</fb>
    <v>13</v>
  </rv>
  <rv s="7">
    <fb>93.56</fb>
    <v>13</v>
  </rv>
  <rv s="7">
    <fb>926.43</fb>
    <v>13</v>
  </rv>
  <rv s="7">
    <fb>247.31</fb>
    <v>13</v>
  </rv>
  <rv s="7">
    <fb>112.85</fb>
    <v>13</v>
  </rv>
  <rv s="7">
    <fb>182.2</fb>
    <v>13</v>
  </rv>
  <rv s="7">
    <fb>83.98</fb>
    <v>13</v>
  </rv>
  <rv s="7">
    <fb>139.13999999999999</fb>
    <v>13</v>
  </rv>
  <rv s="7">
    <fb>46217</fb>
    <v>12</v>
  </rv>
  <rv s="7">
    <fb>357.33</fb>
    <v>13</v>
  </rv>
  <rv s="7">
    <fb>303.58</fb>
    <v>13</v>
  </rv>
  <rv s="7">
    <fb>99.25</fb>
    <v>13</v>
  </rv>
  <rv s="7">
    <fb>83.08</fb>
    <v>13</v>
  </rv>
  <rv s="7">
    <fb>8.85</fb>
    <v>13</v>
  </rv>
  <rv s="7">
    <fb>113.7</fb>
    <v>13</v>
  </rv>
  <rv s="7">
    <fb>384.93</fb>
    <v>13</v>
  </rv>
  <rv s="7">
    <fb>314.86</fb>
    <v>13</v>
  </rv>
  <rv s="7">
    <fb>389.11</fb>
    <v>13</v>
  </rv>
  <rv s="7">
    <fb>921.75</fb>
    <v>13</v>
  </rv>
  <rv s="7">
    <fb>247.49</fb>
    <v>13</v>
  </rv>
  <rv s="7">
    <fb>111.87</fb>
    <v>13</v>
  </rv>
  <rv s="7">
    <fb>181.76</fb>
    <v>13</v>
  </rv>
  <rv s="7">
    <fb>136.08000000000001</fb>
    <v>13</v>
  </rv>
  <rv s="7">
    <fb>46218</fb>
    <v>12</v>
  </rv>
  <rv s="7">
    <fb>370.21</fb>
    <v>13</v>
  </rv>
  <rv s="7">
    <fb>77.12</fb>
    <v>13</v>
  </rv>
  <rv s="7">
    <fb>304.57</fb>
    <v>13</v>
  </rv>
  <rv s="7">
    <fb>100.46</fb>
    <v>13</v>
  </rv>
  <rv s="7">
    <fb>82.45</fb>
    <v>13</v>
  </rv>
  <rv s="7">
    <fb>395.63</fb>
    <v>13</v>
  </rv>
  <rv s="7">
    <fb>327.5</fb>
    <v>13</v>
  </rv>
  <rv s="7">
    <fb>394.28</fb>
    <v>13</v>
  </rv>
  <rv s="7">
    <fb>97.41</fb>
    <v>13</v>
  </rv>
  <rv s="7">
    <fb>916.54</fb>
    <v>13</v>
  </rv>
  <rv s="7">
    <fb>254.96</fb>
    <v>13</v>
  </rv>
  <rv s="7">
    <fb>111.46</fb>
    <v>13</v>
  </rv>
  <rv s="7">
    <fb>181.6</fb>
    <v>13</v>
  </rv>
  <rv s="7">
    <fb>135.27000000000001</fb>
    <v>13</v>
  </rv>
  <rv s="7">
    <fb>46219</fb>
    <v>12</v>
  </rv>
  <rv s="7">
    <fb>353.81</fb>
    <v>13</v>
  </rv>
  <rv s="7">
    <fb>72.91</fb>
    <v>13</v>
  </rv>
  <rv s="7">
    <fb>294.11</fb>
    <v>13</v>
  </rv>
  <rv s="7">
    <fb>100.52</fb>
    <v>13</v>
  </rv>
  <rv s="7">
    <fb>84.92</fb>
    <v>13</v>
  </rv>
  <rv s="7">
    <fb>8.76</fb>
    <v>13</v>
  </rv>
  <rv s="7">
    <fb>114.95</fb>
    <v>13</v>
  </rv>
  <rv s="7">
    <fb>333.26</fb>
    <v>13</v>
  </rv>
  <rv s="7">
    <fb>374.45</fb>
    <v>13</v>
  </rv>
  <rv s="7">
    <fb>945.57</fb>
    <v>13</v>
  </rv>
  <rv s="7">
    <fb>249.89</fb>
    <v>13</v>
  </rv>
  <rv s="7">
    <fb>112.84</fb>
    <v>13</v>
  </rv>
  <rv s="7">
    <fb>183.86</fb>
    <v>13</v>
  </rv>
  <rv s="7">
    <fb>85.08</fb>
    <v>13</v>
  </rv>
  <rv s="7">
    <fb>131.11000000000001</fb>
    <v>13</v>
  </rv>
  <rv s="7">
    <fb>46220</fb>
    <v>12</v>
  </rv>
  <rv s="7">
    <fb>346.12</fb>
    <v>13</v>
  </rv>
  <rv s="7">
    <fb>289.56</fb>
    <v>13</v>
  </rv>
  <rv s="7">
    <fb>8.49</fb>
    <v>13</v>
  </rv>
  <rv s="7">
    <fb>114.24</fb>
    <v>13</v>
  </rv>
  <rv s="7">
    <fb>393.82</fb>
    <v>13</v>
  </rv>
  <rv s="7">
    <fb>333.74</fb>
    <v>13</v>
  </rv>
  <rv s="7">
    <fb>370.82499999999999</fb>
    <v>13</v>
  </rv>
  <rv s="7">
    <fb>90.53</fb>
    <v>13</v>
  </rv>
  <rv s="7">
    <fb>940.87</fb>
    <v>13</v>
  </rv>
  <rv s="7">
    <fb>247.23</fb>
    <v>13</v>
  </rv>
  <rv s="7">
    <fb>114.71</fb>
    <v>13</v>
  </rv>
  <rv s="7">
    <fb>187.38</fb>
    <v>13</v>
  </rv>
  <rv s="7">
    <fb>87.32</fb>
    <v>13</v>
  </rv>
  <rv s="7">
    <fb>123.99</fb>
    <v>13</v>
  </rv>
  <rv s="7">
    <fb>46223</fb>
    <v>12</v>
  </rv>
  <rv s="7">
    <fb>351.37</fb>
    <v>13</v>
  </rv>
  <rv s="7">
    <fb>291.67</fb>
    <v>13</v>
  </rv>
  <rv s="7">
    <fb>99.01</fb>
    <v>13</v>
  </rv>
  <rv s="7">
    <fb>8.81</fb>
    <v>13</v>
  </rv>
  <rv s="7">
    <fb>112.2</fb>
    <v>13</v>
  </rv>
  <rv s="7">
    <fb>402.29</fb>
    <v>13</v>
  </rv>
  <rv s="7">
    <fb>326.58999999999997</fb>
    <v>13</v>
  </rv>
  <rv s="7">
    <fb>378.16</fb>
    <v>13</v>
  </rv>
  <rv s="7">
    <fb>91.68</fb>
    <v>13</v>
  </rv>
  <rv s="7">
    <fb>935.8</fb>
    <v>13</v>
  </rv>
  <rv s="7">
    <fb>249.99</fb>
    <v>13</v>
  </rv>
  <rv s="7">
    <fb>115.68</fb>
    <v>13</v>
  </rv>
  <rv s="7">
    <fb>86.2</fb>
    <v>13</v>
  </rv>
  <rv s="7">
    <fb>119.85</fb>
    <v>13</v>
  </rv>
  <rv s="7">
    <fb>46224</fb>
    <v>12</v>
  </rv>
  <rv s="7">
    <fb>346.19</fb>
    <v>13</v>
  </rv>
  <rv s="7">
    <fb>304.5</fb>
    <v>13</v>
  </rv>
  <rv s="7">
    <fb>101.12</fb>
    <v>13</v>
  </rv>
  <rv s="7">
    <fb>81.97</fb>
    <v>13</v>
  </rv>
  <rv s="7">
    <fb>110.39</fb>
    <v>13</v>
  </rv>
  <rv s="7">
    <fb>397.75</fb>
    <v>13</v>
  </rv>
  <rv s="7">
    <fb>327.74</fb>
    <v>13</v>
  </rv>
  <rv s="7">
    <fb>386.5</fb>
    <v>13</v>
  </rv>
  <rv s="7">
    <fb>94.42</fb>
    <v>13</v>
  </rv>
  <rv s="7">
    <fb>929.22</fb>
    <v>13</v>
  </rv>
  <rv s="7">
    <fb>247.55</fb>
    <v>13</v>
  </rv>
  <rv s="7">
    <fb>117.5</fb>
    <v>13</v>
  </rv>
  <rv s="7">
    <fb>191.07</fb>
    <v>13</v>
  </rv>
  <rv s="7">
    <fb>123.54</fb>
    <v>13</v>
  </rv>
  <rv s="7">
    <fb>46225</fb>
    <v>12</v>
  </rv>
  <rv s="7">
    <fb>341.91</fb>
    <v>13</v>
  </rv>
  <rv s="7">
    <fb>82.64</fb>
    <v>13</v>
  </rv>
  <rv s="7">
    <fb>103.11</fb>
    <v>13</v>
  </rv>
  <rv s="7">
    <fb>82.2</fb>
    <v>13</v>
  </rv>
  <rv s="7">
    <fb>8.86</fb>
    <v>13</v>
  </rv>
  <rv s="7">
    <fb>109.33</fb>
    <v>13</v>
  </rv>
  <rv s="7">
    <fb>325.89</fb>
    <v>13</v>
  </rv>
  <rv s="7">
    <fb>396.81</fb>
    <v>13</v>
  </rv>
  <rv s="7">
    <fb>93.5</fb>
    <v>13</v>
  </rv>
  <rv s="7">
    <fb>927.31</fb>
    <v>13</v>
  </rv>
  <rv s="7">
    <fb>244.85</fb>
    <v>13</v>
  </rv>
  <rv s="7">
    <fb>192.98</fb>
    <v>13</v>
  </rv>
  <rv s="7">
    <fb>87.77</fb>
    <v>13</v>
  </rv>
  <rv s="7">
    <fb>115.26</fb>
    <v>13</v>
  </rv>
  <rv s="7">
    <fb>46226</fb>
    <v>12</v>
  </rv>
  <rv s="7">
    <fb>318.33999999999997</fb>
    <v>13</v>
  </rv>
  <rv s="7">
    <fb>81.099999999999994</fb>
    <v>13</v>
  </rv>
  <rv s="7">
    <fb>304.04000000000002</fb>
    <v>13</v>
  </rv>
  <rv s="7">
    <fb>101.75</fb>
    <v>13</v>
  </rv>
  <rv s="7">
    <fb>8.66</fb>
    <v>13</v>
  </rv>
  <rv s="7">
    <fb>108.4</fb>
    <v>13</v>
  </rv>
  <rv s="7">
    <fb>381.58</fb>
    <v>13</v>
  </rv>
  <rv s="7">
    <fb>321.66000000000003</fb>
    <v>13</v>
  </rv>
  <rv s="7">
    <fb>392.47</fb>
    <v>13</v>
  </rv>
  <rv s="7">
    <fb>91.76</fb>
    <v>13</v>
  </rv>
  <rv s="7">
    <fb>926.06</fb>
    <v>13</v>
  </rv>
  <rv s="7">
    <fb>233.66</fb>
    <v>13</v>
  </rv>
  <rv s="7">
    <fb>120.2</fb>
    <v>13</v>
  </rv>
  <rv s="7">
    <fb>194.42</fb>
    <v>13</v>
  </rv>
  <rv s="7">
    <fb>87.95</fb>
    <v>13</v>
  </rv>
  <rv s="7">
    <fb>46227</fb>
    <v>12</v>
  </rv>
  <rv s="7">
    <fb>319.08999999999997</fb>
    <v>13</v>
  </rv>
  <rv s="7">
    <fb>71.88</fb>
    <v>13</v>
  </rv>
  <rv s="7">
    <fb>290.36</fb>
    <v>13</v>
  </rv>
  <rv s="7">
    <fb>103.4</fb>
    <v>13</v>
  </rv>
  <rv s="7">
    <fb>8.57</fb>
    <v>13</v>
  </rv>
  <rv s="7">
    <fb>109.47</fb>
    <v>13</v>
  </rv>
  <rv s="7">
    <fb>381.7</fb>
    <v>13</v>
  </rv>
  <rv s="7">
    <fb>333.02</fb>
    <v>13</v>
  </rv>
  <rv s="7">
    <fb>381.92</fb>
    <v>13</v>
  </rv>
  <rv s="7">
    <fb>91.74</fb>
    <v>13</v>
  </rv>
  <rv s="7">
    <fb>232.11</fb>
    <v>13</v>
  </rv>
  <rv s="7">
    <fb>194.79</fb>
    <v>13</v>
  </rv>
  <rv s="7">
    <fb>115.07</fb>
    <v>13</v>
  </rv>
  <rv s="7">
    <fb>46230</fb>
    <v>12</v>
  </rv>
  <rv s="7">
    <fb>326.57</fb>
    <v>13</v>
  </rv>
  <rv s="7">
    <fb>287.60000000000002</fb>
    <v>13</v>
  </rv>
  <rv s="7">
    <fb>103.97</fb>
    <v>13</v>
  </rv>
  <rv s="7">
    <fb>84.07</fb>
    <v>13</v>
  </rv>
  <rv s="7">
    <fb>389.1</fb>
    <v>13</v>
  </rv>
  <rv s="7">
    <fb>336.91</fb>
    <v>13</v>
  </rv>
  <rv s="7">
    <fb>92.27</fb>
    <v>13</v>
  </rv>
  <rv s="7">
    <fb>951.58</fb>
    <v>13</v>
  </rv>
  <rv s="7">
    <fb>231.39</fb>
    <v>13</v>
  </rv>
  <rv s="7">
    <fb>190</fb>
    <v>13</v>
  </rv>
  <rv s="7">
    <fb>86.37</fb>
    <v>13</v>
  </rv>
  <rv s="7">
    <fb>113.5</fb>
    <v>13</v>
  </rv>
  <rv s="7">
    <fb>46231</fb>
    <v>12</v>
  </rv>
  <rv s="7">
    <fb>67.3</fb>
    <v>13</v>
  </rv>
  <rv s="7">
    <fb>269.56</fb>
    <v>13</v>
  </rv>
  <rv s="7">
    <fb>103.7</fb>
    <v>13</v>
  </rv>
  <rv s="7">
    <fb>88.27</fb>
    <v>13</v>
  </rv>
  <rv s="7">
    <fb>8.27</fb>
    <v>13</v>
  </rv>
  <rv s="7">
    <fb>393.35</fb>
    <v>13</v>
  </rv>
  <rv s="7">
    <fb>340.08</fb>
    <v>13</v>
  </rv>
  <rv s="7">
    <fb>380.91</fb>
    <v>13</v>
  </rv>
  <rv s="7">
    <fb>90.91</fb>
    <v>13</v>
  </rv>
  <rv s="7">
    <fb>966.58</fb>
    <v>13</v>
  </rv>
  <rv s="7">
    <fb>230.86</fb>
    <v>13</v>
  </rv>
  <rv s="7">
    <fb>114.1</fb>
    <v>13</v>
  </rv>
  <rv s="7">
    <fb>187.58</fb>
    <v>13</v>
  </rv>
  <rv s="7">
    <fb>116.41</fb>
    <v>13</v>
  </rv>
  <rv s="7">
    <fb>46232</fb>
    <v>12</v>
  </rv>
  <rv s="7">
    <fb>335.76</fb>
    <v>13</v>
  </rv>
  <rv s="7">
    <fb>60.82</fb>
    <v>13</v>
  </rv>
  <rv s="7">
    <fb>223.04</fb>
    <v>13</v>
  </rv>
  <rv s="7">
    <fb>102.6</fb>
    <v>13</v>
  </rv>
  <rv s="7">
    <fb>89.08</fb>
    <v>13</v>
  </rv>
  <rv s="7">
    <fb>114.22</fb>
    <v>13</v>
  </rv>
  <rv s="7">
    <fb>390.54</fb>
    <v>13</v>
  </rv>
  <rv s="7">
    <fb>338.19</fb>
    <v>13</v>
  </rv>
  <rv s="7">
    <fb>370.32</fb>
    <v>13</v>
  </rv>
  <rv s="7">
    <fb>86.26</fb>
    <v>13</v>
  </rv>
  <rv s="7">
    <fb>974.03</fb>
    <v>13</v>
  </rv>
  <rv s="7">
    <fb>226.65</fb>
    <v>13</v>
  </rv>
  <rv s="7">
    <fb>118.06</fb>
    <v>13</v>
  </rv>
  <rv s="7">
    <fb>191.86</fb>
    <v>13</v>
  </rv>
  <rv s="7">
    <fb>88.34</fb>
    <v>13</v>
  </rv>
  <rv s="7">
    <fb>112.55</fb>
    <v>13</v>
  </rv>
  <rv s="7">
    <fb>46233</fb>
    <v>12</v>
  </rv>
  <rv s="7">
    <fb>333.68</fb>
    <v>13</v>
  </rv>
  <rv s="7">
    <fb>227.5</fb>
    <v>13</v>
  </rv>
  <rv s="7">
    <fb>107.09</fb>
    <v>13</v>
  </rv>
  <rv s="7">
    <fb>8.1199999999999992</fb>
    <v>13</v>
  </rv>
  <rv s="7">
    <fb>111.1</fb>
    <v>13</v>
  </rv>
  <rv s="7">
    <fb>451.1</fb>
    <v>13</v>
  </rv>
  <rv s="7">
    <fb>333.43</fb>
    <v>13</v>
  </rv>
  <rv s="7">
    <fb>387.84</fb>
    <v>13</v>
  </rv>
  <rv s="7">
    <fb>954.17</fb>
    <v>13</v>
  </rv>
  <rv s="7">
    <fb>235.5</fb>
    <v>13</v>
  </rv>
  <rv s="7">
    <fb>119.03</fb>
    <v>13</v>
  </rv>
  <rv s="7">
    <fb>192.31</fb>
    <v>13</v>
  </rv>
  <rv s="7">
    <fb>90.51</fb>
    <v>13</v>
  </rv>
  <rv s="7">
    <fb>46234</fb>
    <v>12</v>
  </rv>
  <rv s="7">
    <fb>356.65</fb>
    <v>13</v>
  </rv>
  <rv s="7">
    <fb>71.77</fb>
    <v>13</v>
  </rv>
  <rv s="7">
    <fb>241.57</fb>
    <v>13</v>
  </rv>
  <rv s="7">
    <fb>106.42</fb>
    <v>13</v>
  </rv>
  <rv s="7">
    <fb>111.2</fb>
    <v>13</v>
  </rv>
  <rv s="7">
    <fb>464.72</fb>
    <v>13</v>
  </rv>
  <rv s="7">
    <fb>308.91000000000003</fb>
    <v>13</v>
  </rv>
  <rv s="7">
    <fb>389.28</fb>
    <v>13</v>
  </rv>
  <rv s="7">
    <fb>87.99</fb>
    <v>13</v>
  </rv>
  <rv s="7">
    <fb>951.89</fb>
    <v>13</v>
  </rv>
  <rv s="7">
    <fb>271.58</fb>
    <v>13</v>
  </rv>
  <rv s="7">
    <fb>120.48</fb>
    <v>13</v>
  </rv>
  <rv s="7">
    <fb>196.83</fb>
    <v>13</v>
  </rv>
  <rv s="7">
    <fb>91.98</fb>
    <v>13</v>
  </rv>
  <rv s="7">
    <fb>108.37</fb>
    <v>13</v>
  </rv>
  <rv s="7">
    <fb>46237</fb>
    <v>12</v>
  </rv>
  <rv s="7">
    <fb>372.47</fb>
    <v>13</v>
  </rv>
  <rv s="7">
    <fb>85.76</fb>
    <v>13</v>
  </rv>
  <rv s="7">
    <fb>263.05</fb>
    <v>13</v>
  </rv>
  <rv s="7">
    <fb>107.86</fb>
    <v>13</v>
  </rv>
  <rv s="7">
    <fb>86.86</fb>
    <v>13</v>
  </rv>
  <rv s="7">
    <fb>110.71</fb>
    <v>13</v>
  </rv>
  <rv s="7">
    <fb>487.65</fb>
    <v>13</v>
  </rv>
  <rv s="7">
    <fb>303.42</fb>
    <v>13</v>
  </rv>
  <rv s="7">
    <fb>392.23</fb>
    <v>13</v>
  </rv>
  <rv s="7">
    <fb>87.75</fb>
    <v>13</v>
  </rv>
  <rv s="7">
    <fb>954.08</fb>
    <v>13</v>
  </rv>
  <rv s="7">
    <fb>284.02</fb>
    <v>13</v>
  </rv>
  <rv s="7">
    <fb>119.16</fb>
    <v>13</v>
  </rv>
  <rv s="7">
    <fb>193.18</fb>
    <v>13</v>
  </rv>
  <rv s="7">
    <fb>91.08</fb>
    <v>13</v>
  </rv>
  <rv s="7">
    <fb>46238</fb>
    <v>12</v>
  </rv>
  <rv s="7">
    <fb>375.35</fb>
    <v>13</v>
  </rv>
  <rv s="7">
    <fb>91.9</fb>
    <v>13</v>
  </rv>
  <rv s="7">
    <fb>269.93</fb>
    <v>13</v>
  </rv>
  <rv s="7">
    <fb>106.04</fb>
    <v>13</v>
  </rv>
  <rv s="7">
    <fb>86.56</fb>
    <v>13</v>
  </rv>
  <rv s="7">
    <fb>8.8699999999999992</fb>
    <v>13</v>
  </rv>
  <rv s="7">
    <fb>111.55</fb>
    <v>13</v>
  </rv>
  <rv s="7">
    <fb>492.81</fb>
    <v>13</v>
  </rv>
  <rv s="7">
    <fb>309.38</fb>
    <v>13</v>
  </rv>
  <rv s="7">
    <fb>418.16</fb>
    <v>13</v>
  </rv>
  <rv s="7">
    <fb>88.63</fb>
    <v>13</v>
  </rv>
  <rv s="7">
    <fb>947.85</fb>
    <v>13</v>
  </rv>
  <rv s="7">
    <fb>277.42</fb>
    <v>13</v>
  </rv>
  <rv s="7">
    <fb>117.94</fb>
    <v>13</v>
  </rv>
  <rv s="7">
    <fb>190.4</fb>
    <v>13</v>
  </rv>
  <rv s="7">
    <fb>46239</fb>
    <v>12</v>
  </rv>
  <rv s="7">
    <fb>360.13</fb>
    <v>13</v>
  </rv>
  <rv s="7">
    <fb>89.89</fb>
    <v>13</v>
  </rv>
  <rv s="7">
    <fb>277.94</fb>
    <v>13</v>
  </rv>
  <rv s="7">
    <fb>102.68</fb>
    <v>13</v>
  </rv>
  <rv s="7">
    <fb>112.34</fb>
    <v>13</v>
  </rv>
  <rv s="7">
    <fb>487.46</fb>
    <v>13</v>
  </rv>
  <rv s="7">
    <fb>311</fb>
    <v>13</v>
  </rv>
  <rv s="7">
    <fb>418.28</fb>
    <v>13</v>
  </rv>
  <rv s="7">
    <fb>88.74</fb>
    <v>13</v>
  </rv>
  <rv s="7">
    <fb>941.99</fb>
    <v>13</v>
  </rv>
  <rv s="7">
    <fb>272.64999999999998</fb>
    <v>13</v>
  </rv>
  <rv s="7">
    <fb>115.04</fb>
    <v>13</v>
  </rv>
  <rv s="7">
    <fb>186.41</fb>
    <v>13</v>
  </rv>
  <rv s="7">
    <fb>87.76</fb>
    <v>13</v>
  </rv>
  <rv s="7">
    <fb>108.27</fb>
    <v>13</v>
  </rv>
  <rv s="7">
    <fb>46240</fb>
    <v>12</v>
  </rv>
  <rv s="7">
    <fb>356.62</fb>
    <v>13</v>
  </rv>
  <rv s="7">
    <fb>85.33</fb>
    <v>13</v>
  </rv>
  <rv s="7">
    <fb>102.56</fb>
    <v>13</v>
  </rv>
  <rv s="7">
    <fb>86.85</fb>
    <v>13</v>
  </rv>
  <rv s="7">
    <fb>9.1999999999999993</fb>
    <v>13</v>
  </rv>
  <rv s="7">
    <fb>112.07</fb>
    <v>13</v>
  </rv>
  <rv s="7">
    <fb>499.86</fb>
    <v>13</v>
  </rv>
  <rv s="7">
    <fb>312.41000000000003</fb>
    <v>13</v>
  </rv>
  <rv s="7">
    <fb>420.565</fb>
    <v>13</v>
  </rv>
  <rv s="7">
    <fb>86.02</fb>
    <v>13</v>
  </rv>
  <rv s="7">
    <fb>949.15</fb>
    <v>13</v>
  </rv>
  <rv s="7">
    <fb>272.26</fb>
    <v>13</v>
  </rv>
  <rv s="7">
    <fb>116.76</fb>
    <v>13</v>
  </rv>
  <rv s="7">
    <fb>189.23</fb>
    <v>13</v>
  </rv>
  <rv s="7">
    <fb>114.92</fb>
    <v>13</v>
  </rv>
  <rv s="7">
    <fb>46241</fb>
    <v>12</v>
  </rv>
  <rv s="7">
    <fb>353.47</fb>
    <v>13</v>
  </rv>
  <rv s="7">
    <fb>272.39999999999998</fb>
    <v>13</v>
  </rv>
  <rv s="7">
    <fb>103.73</fb>
    <v>13</v>
  </rv>
  <rv s="7">
    <fb>87.05</fb>
    <v>13</v>
  </rv>
  <rv s="7">
    <fb>9.5399999999999991</fb>
    <v>13</v>
  </rv>
  <rv s="7">
    <fb>111.85</fb>
    <v>13</v>
  </rv>
  <rv s="7">
    <fb>499.99</fb>
    <v>13</v>
  </rv>
  <rv s="7">
    <fb>313.33</fb>
    <v>13</v>
  </rv>
  <rv s="7">
    <fb>427.76</fb>
    <v>13</v>
  </rv>
  <rv s="7">
    <fb>87.83</fb>
    <v>13</v>
  </rv>
  <rv s="7">
    <fb>947.82</fb>
    <v>13</v>
  </rv>
  <rv s="7">
    <fb>274.48</fb>
    <v>13</v>
  </rv>
  <rv s="7">
    <fb>117.61</fb>
    <v>13</v>
  </rv>
  <rv s="7">
    <fb>186.56</fb>
    <v>13</v>
  </rv>
  <rv s="7">
    <fb>88.5</fb>
    <v>13</v>
  </rv>
  <rv s="7">
    <fb>133.11000000000001</fb>
    <v>13</v>
  </rv>
  <rv s="7">
    <fb>46244</fb>
    <v>12</v>
  </rv>
  <rv s="7">
    <fb>355.84</fb>
    <v>13</v>
  </rv>
  <rv s="7">
    <fb>88.19</fb>
    <v>13</v>
  </rv>
  <rv s="7">
    <fb>270.10000000000002</fb>
    <v>13</v>
  </rv>
  <rv s="7">
    <fb>103.32</fb>
    <v>13</v>
  </rv>
  <rv s="7">
    <fb>9.09</fb>
    <v>13</v>
  </rv>
  <rv s="7">
    <fb>112.66</fb>
    <v>13</v>
  </rv>
  <rv s="7">
    <fb>506.06</fb>
    <v>13</v>
  </rv>
  <rv s="7">
    <fb>308.26</fb>
    <v>13</v>
  </rv>
  <rv s="7">
    <fb>422.4</fb>
    <v>13</v>
  </rv>
  <rv s="7">
    <fb>952.75</fb>
    <v>13</v>
  </rv>
  <rv s="7">
    <fb>278.08999999999997</fb>
    <v>13</v>
  </rv>
  <rv s="7">
    <fb>123.03</fb>
    <v>13</v>
  </rv>
  <rv s="7">
    <fb>194.91</fb>
    <v>13</v>
  </rv>
  <rv s="7">
    <fb>138.74</fb>
    <v>13</v>
  </rv>
  <rv s="7">
    <fb>46245</fb>
    <v>12</v>
  </rv>
  <rv s="7">
    <fb>343</fb>
    <v>13</v>
  </rv>
  <rv s="7">
    <fb>90.32</fb>
    <v>13</v>
  </rv>
  <rv s="7">
    <fb>281.81</fb>
    <v>13</v>
  </rv>
  <rv s="7">
    <fb>103.21</fb>
    <v>13</v>
  </rv>
  <rv s="7">
    <fb>86.48</fb>
    <v>13</v>
  </rv>
  <rv s="7">
    <fb>9.08</fb>
    <v>13</v>
  </rv>
  <rv s="7">
    <fb>503.81</fb>
    <v>13</v>
  </rv>
  <rv s="7">
    <fb>304.91000000000003</fb>
    <v>13</v>
  </rv>
  <rv s="7">
    <fb>416.08</fb>
    <v>13</v>
  </rv>
  <rv s="7">
    <fb>89.78</fb>
    <v>13</v>
  </rv>
  <rv s="7">
    <fb>944.32</fb>
    <v>13</v>
  </rv>
  <rv s="7">
    <fb>272.27</fb>
    <v>13</v>
  </rv>
  <rv s="7">
    <fb>125.92</fb>
    <v>13</v>
  </rv>
  <rv s="7">
    <fb>196.66</fb>
    <v>13</v>
  </rv>
  <rv s="7">
    <fb>90.5</fb>
    <v>13</v>
  </rv>
  <rv s="7">
    <fb>133.29</fb>
    <v>13</v>
  </rv>
  <rv s="7">
    <fb>46246</fb>
    <v>12</v>
  </rv>
  <rv s="7">
    <fb>342.37</fb>
    <v>13</v>
  </rv>
  <rv s="7">
    <fb>107.73</fb>
    <v>13</v>
  </rv>
  <rv s="7">
    <fb>288.36</fb>
    <v>13</v>
  </rv>
  <rv s="7">
    <fb>104.12</fb>
    <v>13</v>
  </rv>
  <rv s="7">
    <fb>86.71</fb>
    <v>13</v>
  </rv>
  <rv s="7">
    <fb>9.34</fb>
    <v>13</v>
  </rv>
  <rv s="7">
    <fb>116.01</fb>
    <v>13</v>
  </rv>
  <rv s="7">
    <fb>492.43</fb>
    <v>13</v>
  </rv>
  <rv s="7">
    <fb>416.05</fb>
    <v>13</v>
  </rv>
  <rv s="7">
    <fb>91.66</fb>
    <v>13</v>
  </rv>
  <rv s="7">
    <fb>949.57500000000005</fb>
    <v>13</v>
  </rv>
  <rv s="7">
    <fb>267.27999999999997</fb>
    <v>13</v>
  </rv>
  <rv s="7">
    <fb>127.3</fb>
    <v>13</v>
  </rv>
  <rv s="7">
    <fb>196.6</fb>
    <v>13</v>
  </rv>
  <rv s="7">
    <fb>90.07</fb>
    <v>13</v>
  </rv>
  <rv s="7">
    <fb>146.15</fb>
    <v>13</v>
  </rv>
  <rv s="7">
    <fb>46247</fb>
    <v>12</v>
  </rv>
  <rv s="7">
    <fb>106.29</fb>
    <v>13</v>
  </rv>
  <rv s="7">
    <fb>287.07</fb>
    <v>13</v>
  </rv>
  <rv s="7">
    <fb>104.05</fb>
    <v>13</v>
  </rv>
  <rv s="7">
    <fb>87.42</fb>
    <v>13</v>
  </rv>
  <rv s="7">
    <fb>115.72</fb>
    <v>13</v>
  </rv>
  <rv s="7">
    <fb>496.88</fb>
    <v>13</v>
  </rv>
  <rv s="7">
    <fb>305.26</fb>
    <v>13</v>
  </rv>
  <rv s="7">
    <fb>417.82</fb>
    <v>13</v>
  </rv>
  <rv s="7">
    <fb>91.42</fb>
    <v>13</v>
  </rv>
  <rv s="7">
    <fb>961.85</fb>
    <v>13</v>
  </rv>
  <rv s="7">
    <fb>265.13</fb>
    <v>13</v>
  </rv>
  <rv s="7">
    <fb>124.52</fb>
    <v>13</v>
  </rv>
  <rv s="7">
    <fb>197.7</fb>
    <v>13</v>
  </rv>
  <rv s="7">
    <fb>89.92</fb>
    <v>13</v>
  </rv>
  <rv s="7">
    <fb>141.29</fb>
    <v>13</v>
  </rv>
  <rv s="7">
    <fb>46248</fb>
    <v>12</v>
  </rv>
  <rv s="7">
    <fb>343.54</fb>
    <v>13</v>
  </rv>
  <rv s="7">
    <fb>105.26</fb>
    <v>13</v>
  </rv>
  <rv s="7">
    <fb>293.83999999999997</fb>
    <v>13</v>
  </rv>
  <rv s="7">
    <fb>103.79</fb>
    <v>13</v>
  </rv>
  <rv s="7">
    <fb>87.71</fb>
    <v>13</v>
  </rv>
  <rv s="7">
    <fb>9.74</fb>
    <v>13</v>
  </rv>
  <rv s="7">
    <fb>115.27</fb>
    <v>13</v>
  </rv>
  <rv s="7">
    <fb>495.4</fb>
    <v>13</v>
  </rv>
  <rv s="7">
    <fb>305.93</fb>
    <v>13</v>
  </rv>
  <rv s="7">
    <fb>392.99</fb>
    <v>13</v>
  </rv>
  <rv s="7">
    <fb>92.06</fb>
    <v>13</v>
  </rv>
  <rv s="7">
    <fb>961.1</fb>
    <v>13</v>
  </rv>
  <rv s="7">
    <fb>262.64999999999998</fb>
    <v>13</v>
  </rv>
  <rv s="7">
    <fb>126.78</fb>
    <v>13</v>
  </rv>
  <rv s="7">
    <fb>200</fb>
    <v>13</v>
  </rv>
  <rv s="7">
    <fb>140</fb>
    <v>13</v>
  </rv>
  <rv s="7">
    <fb>46251</fb>
    <v>12</v>
  </rv>
  <rv s="7">
    <fb>106</fb>
    <v>13</v>
  </rv>
  <rv s="7">
    <fb>292.43</fb>
    <v>13</v>
  </rv>
  <rv s="7">
    <fb>103.8</fb>
    <v>13</v>
  </rv>
  <rv s="7">
    <fb>86.98</fb>
    <v>13</v>
  </rv>
  <rv s="7">
    <fb>114.33</fb>
    <v>13</v>
  </rv>
  <rv s="7">
    <fb>480.35</fb>
    <v>13</v>
  </rv>
  <rv s="7">
    <fb>305.58999999999997</fb>
    <v>13</v>
  </rv>
  <rv s="7">
    <fb>392.43</fb>
    <v>13</v>
  </rv>
  <rv s="7">
    <fb>94.33</fb>
    <v>13</v>
  </rv>
  <rv s="7">
    <fb>953.5</fb>
    <v>13</v>
  </rv>
  <rv s="7">
    <fb>261.31</fb>
    <v>13</v>
  </rv>
  <rv s="7">
    <fb>127.56</fb>
    <v>13</v>
  </rv>
  <rv s="7">
    <fb>202.7</fb>
    <v>13</v>
  </rv>
  <rv s="7">
    <fb>91.62</fb>
    <v>13</v>
  </rv>
  <rv s="7">
    <fb>146.22999999999999</fb>
    <v>13</v>
  </rv>
  <rv s="7">
    <fb>46252</fb>
    <v>12</v>
  </rv>
  <rv s="7">
    <fb>341.28</fb>
    <v>13</v>
  </rv>
  <rv s="7">
    <fb>93.17</fb>
    <v>13</v>
  </rv>
  <rv s="7">
    <fb>272.54000000000002</fb>
    <v>13</v>
  </rv>
  <rv s="7">
    <fb>103.18</fb>
    <v>13</v>
  </rv>
  <rv s="7">
    <fb>88.82</fb>
    <v>13</v>
  </rv>
  <rv s="7">
    <fb>9.14</fb>
    <v>13</v>
  </rv>
  <rv s="7">
    <fb>115.2</fb>
    <v>13</v>
  </rv>
  <rv s="7">
    <fb>310.02999999999997</fb>
    <v>13</v>
  </rv>
  <rv s="7">
    <fb>380</fb>
    <v>13</v>
  </rv>
  <rv s="7">
    <fb>90.56</fb>
    <v>13</v>
  </rv>
  <rv s="7">
    <fb>961.35</fb>
    <v>13</v>
  </rv>
  <rv s="7">
    <fb>259.45</fb>
    <v>13</v>
  </rv>
  <rv s="7">
    <fb>129.72</fb>
    <v>13</v>
  </rv>
  <rv s="7">
    <fb>205.74</fb>
    <v>13</v>
  </rv>
  <rv s="7">
    <fb>143.34</fb>
    <v>13</v>
  </rv>
  <rv s="7">
    <fb>46253</fb>
    <v>12</v>
  </rv>
  <rv s="7">
    <fb>341.7</fb>
    <v>13</v>
  </rv>
  <rv s="7">
    <fb>90.87</fb>
    <v>13</v>
  </rv>
  <rv s="7">
    <fb>261</fb>
    <v>13</v>
  </rv>
  <rv s="7">
    <fb>102.3</fb>
    <v>13</v>
  </rv>
  <rv s="7">
    <fb>90.35</fb>
    <v>13</v>
  </rv>
  <rv s="7">
    <fb>9.06</fb>
    <v>13</v>
  </rv>
  <rv s="7">
    <fb>114.3</fb>
    <v>13</v>
  </rv>
  <rv s="7">
    <fb>484.31</fb>
    <v>13</v>
  </rv>
  <rv s="7">
    <fb>316.83</fb>
    <v>13</v>
  </rv>
  <rv s="7">
    <fb>362.48</fb>
    <v>13</v>
  </rv>
  <rv s="7">
    <fb>90.54</fb>
    <v>13</v>
  </rv>
  <rv s="7">
    <fb>956.99</fb>
    <v>13</v>
  </rv>
  <rv s="7">
    <fb>265.83999999999997</fb>
    <v>13</v>
  </rv>
  <rv s="7">
    <fb>130.58000000000001</fb>
    <v>13</v>
  </rv>
  <rv s="7">
    <fb>205.76</fb>
    <v>13</v>
  </rv>
  <rv s="7">
    <fb>92.77</fb>
    <v>13</v>
  </rv>
  <rv s="7">
    <fb>139.65</fb>
    <v>13</v>
  </rv>
  <rv s="7">
    <fb>46254</fb>
    <v>12</v>
  </rv>
  <rv s="7">
    <fb>338.2</fb>
    <v>13</v>
  </rv>
  <rv s="7">
    <fb>89.76</fb>
    <v>13</v>
  </rv>
  <rv s="7">
    <fb>264.63</fb>
    <v>13</v>
  </rv>
  <rv s="7">
    <fb>102.33</fb>
    <v>13</v>
  </rv>
  <rv s="7">
    <fb>103.84</fb>
    <v>13</v>
  </rv>
  <rv s="7">
    <fb>481.15</fb>
    <v>13</v>
  </rv>
  <rv s="7">
    <fb>311.3</fb>
    <v>13</v>
  </rv>
  <rv s="7">
    <fb>364.03</fb>
    <v>13</v>
  </rv>
  <rv s="7">
    <fb>89.85</fb>
    <v>13</v>
  </rv>
  <rv s="7">
    <fb>933.51</fb>
    <v>13</v>
  </rv>
  <rv s="7">
    <fb>260.11</fb>
    <v>13</v>
  </rv>
  <rv s="7">
    <fb>134.88999999999999</fb>
    <v>13</v>
  </rv>
  <rv s="7">
    <fb>205.77</fb>
    <v>13</v>
  </rv>
  <rv s="7">
    <fb>93.65</fb>
    <v>13</v>
  </rv>
  <rv s="7">
    <fb>134</fb>
    <v>13</v>
  </rv>
  <rv s="7">
    <fb>46255</fb>
    <v>12</v>
  </rv>
  <rv s="7">
    <fb>341.75</fb>
    <v>13</v>
  </rv>
  <rv s="7">
    <fb>87.85</fb>
    <v>13</v>
  </rv>
  <rv s="7">
    <fb>261.95</fb>
    <v>13</v>
  </rv>
  <rv s="7">
    <fb>104.15</fb>
    <v>13</v>
  </rv>
  <rv s="7">
    <fb>91.1</fb>
    <v>13</v>
  </rv>
  <rv s="7">
    <fb>9.24</fb>
    <v>13</v>
  </rv>
  <rv s="7">
    <fb>483.24</fb>
    <v>13</v>
  </rv>
  <rv s="7">
    <fb>309.35000000000002</fb>
    <v>13</v>
  </rv>
  <rv s="7">
    <fb>368.45</fb>
    <v>13</v>
  </rv>
  <rv s="7">
    <fb>93.87</fb>
    <v>13</v>
  </rv>
  <rv s="7">
    <fb>947.74</fb>
    <v>13</v>
  </rv>
  <rv s="7">
    <fb>258.63</fb>
    <v>13</v>
  </rv>
  <rv s="7">
    <fb>134.87</fb>
    <v>13</v>
  </rv>
  <rv s="7">
    <fb>93.33</fb>
    <v>13</v>
  </rv>
  <rv s="7">
    <fb>136.97</fb>
    <v>13</v>
  </rv>
  <rv s="7">
    <fb>46258</fb>
    <v>12</v>
  </rv>
  <rv s="7">
    <fb>344.59</fb>
    <v>13</v>
  </rv>
  <rv s="7">
    <fb>86.25</fb>
    <v>13</v>
  </rv>
  <rv s="7">
    <fb>254.97</fb>
    <v>13</v>
  </rv>
  <rv s="7">
    <fb>104.09</fb>
    <v>13</v>
  </rv>
  <rv s="7">
    <fb>8.7799999999999994</fb>
    <v>13</v>
  </rv>
  <rv s="7">
    <fb>106.49</fb>
    <v>13</v>
  </rv>
  <rv s="7">
    <fb>487.31</fb>
    <v>13</v>
  </rv>
  <rv s="7">
    <fb>310.33999999999997</fb>
    <v>13</v>
  </rv>
  <rv s="7">
    <fb>358.76</fb>
    <v>13</v>
  </rv>
  <rv s="7">
    <fb>93.05</fb>
    <v>13</v>
  </rv>
  <rv s="7">
    <fb>971.4</fb>
    <v>13</v>
  </rv>
  <rv s="7">
    <fb>262.07</fb>
    <v>13</v>
  </rv>
  <rv s="7">
    <fb>133.35</fb>
    <v>13</v>
  </rv>
  <rv s="7">
    <fb>203.09</fb>
    <v>13</v>
  </rv>
  <rv s="7">
    <fb>135</fb>
    <v>13</v>
  </rv>
  <rv s="7">
    <fb>46259</fb>
    <v>12</v>
  </rv>
  <rv s="7">
    <fb>343.34</fb>
    <v>13</v>
  </rv>
  <rv s="7">
    <fb>88.04</fb>
    <v>13</v>
  </rv>
  <rv s="7">
    <fb>255.75</fb>
    <v>13</v>
  </rv>
  <rv s="7">
    <fb>104.38</fb>
    <v>13</v>
  </rv>
  <rv s="7">
    <fb>91.64</fb>
    <v>13</v>
  </rv>
  <rv s="7">
    <fb>105.38</fb>
    <v>13</v>
  </rv>
  <rv s="7">
    <fb>491.71</fb>
    <v>13</v>
  </rv>
  <rv s="7">
    <fb>309.89999999999998</fb>
    <v>13</v>
  </rv>
  <rv s="7">
    <fb>356.74</fb>
    <v>13</v>
  </rv>
  <rv s="7">
    <fb>960.01</fb>
    <v>13</v>
  </rv>
  <rv s="7">
    <fb>261.06</fb>
    <v>13</v>
  </rv>
  <rv s="7">
    <fb>131.84</fb>
    <v>13</v>
  </rv>
  <rv s="7">
    <fb>199.89</fb>
    <v>13</v>
  </rv>
  <rv s="7">
    <fb>92.22</fb>
    <v>13</v>
  </rv>
  <rv s="7">
    <fb>137.94999999999999</fb>
    <v>13</v>
  </rv>
  <rv s="7">
    <fb>46260</fb>
    <v>12</v>
  </rv>
  <rv s="7">
    <fb>339.1</fb>
    <v>13</v>
  </rv>
  <rv s="7">
    <fb>263.81</fb>
    <v>13</v>
  </rv>
  <rv s="7">
    <fb>103.65</fb>
    <v>13</v>
  </rv>
  <rv s="7">
    <fb>90.08</fb>
    <v>13</v>
  </rv>
  <rv s="7">
    <fb>104.34</fb>
    <v>13</v>
  </rv>
  <rv s="7">
    <fb>496.37</fb>
    <v>13</v>
  </rv>
  <rv s="7">
    <fb>313.45</fb>
    <v>13</v>
  </rv>
  <rv s="7">
    <fb>97.02</fb>
    <v>13</v>
  </rv>
  <rv s="7">
    <fb>956.12</fb>
    <v>13</v>
  </rv>
  <rv s="7">
    <fb>260.27999999999997</fb>
    <v>13</v>
  </rv>
  <rv s="7">
    <fb>130.61000000000001</fb>
    <v>13</v>
  </rv>
  <rv s="7">
    <fb>200.21</fb>
    <v>13</v>
  </rv>
  <rv s="7">
    <fb>91.11</fb>
    <v>13</v>
  </rv>
  <rv s="7">
    <fb>139.63</fb>
    <v>13</v>
  </rv>
  <rv s="7">
    <fb>46261</fb>
    <v>12</v>
  </rv>
  <rv s="7">
    <fb>337.71</fb>
    <v>13</v>
  </rv>
  <rv s="7">
    <fb>86.8</fb>
    <v>13</v>
  </rv>
  <rv s="7">
    <fb>269.27999999999997</fb>
    <v>13</v>
  </rv>
  <rv s="7">
    <fb>102.85</fb>
    <v>13</v>
  </rv>
  <rv s="7">
    <fb>89.06</fb>
    <v>13</v>
  </rv>
  <rv s="7">
    <fb>9.5299999999999994</fb>
    <v>13</v>
  </rv>
  <rv s="7">
    <fb>102.63</fb>
    <v>13</v>
  </rv>
  <rv s="7">
    <fb>505.06</fb>
    <v>13</v>
  </rv>
  <rv s="7">
    <fb>314.58</fb>
    <v>13</v>
  </rv>
  <rv s="7">
    <fb>371.54</fb>
    <v>13</v>
  </rv>
  <rv s="7">
    <fb>96.55</fb>
    <v>13</v>
  </rv>
  <rv s="7">
    <fb>934.66</fb>
    <v>13</v>
  </rv>
  <rv s="7">
    <fb>256.26</fb>
    <v>13</v>
  </rv>
  <rv s="7">
    <fb>129.52000000000001</fb>
    <v>13</v>
  </rv>
  <rv s="7">
    <fb>199.77</fb>
    <v>13</v>
  </rv>
  <rv s="7">
    <fb>90.7</fb>
    <v>13</v>
  </rv>
  <rv s="7">
    <fb>140.87</fb>
    <v>13</v>
  </rv>
  <rv s="7">
    <fb>46262</fb>
    <v>12</v>
  </rv>
  <rv s="7">
    <fb>342.88</fb>
    <v>13</v>
  </rv>
  <rv s="7">
    <fb>84.23</fb>
    <v>13</v>
  </rv>
  <rv s="7">
    <fb>257.08</fb>
    <v>13</v>
  </rv>
  <rv s="7">
    <fb>103.53</fb>
    <v>13</v>
  </rv>
  <rv s="7">
    <fb>89.66</fb>
    <v>13</v>
  </rv>
  <rv s="7">
    <fb>9.07</fb>
    <v>13</v>
  </rv>
  <rv s="7">
    <fb>103.09</fb>
    <v>13</v>
  </rv>
  <rv s="7">
    <fb>513.53</fb>
    <v>13</v>
  </rv>
  <rv s="7">
    <fb>319.7</fb>
    <v>13</v>
  </rv>
  <rv s="7">
    <fb>368.79</fb>
    <v>13</v>
  </rv>
  <rv s="7">
    <fb>95.84</fb>
    <v>13</v>
  </rv>
  <rv s="7">
    <fb>945.47</fb>
    <v>13</v>
  </rv>
  <rv s="7">
    <fb>201.86</fb>
    <v>13</v>
  </rv>
  <rv s="7">
    <fb>141.5</fb>
    <v>13</v>
  </rv>
  <rv s="7">
    <fb>46265</fb>
    <v>12</v>
  </rv>
  <rv s="7">
    <fb>335.41</fb>
    <v>13</v>
  </rv>
  <rv s="7">
    <fb>84.89</fb>
    <v>13</v>
  </rv>
  <rv s="7">
    <fb>258.72000000000003</fb>
    <v>13</v>
  </rv>
  <rv s="7">
    <fb>103.14</fb>
    <v>13</v>
  </rv>
  <rv s="7">
    <fb>88.67</fb>
    <v>13</v>
  </rv>
  <rv s="7">
    <fb>104.87</fb>
    <v>13</v>
  </rv>
  <rv s="7">
    <fb>507.29</fb>
    <v>13</v>
  </rv>
  <rv s="7">
    <fb>316.85000000000002</fb>
    <v>13</v>
  </rv>
  <rv s="7">
    <fb>370.34</fb>
    <v>13</v>
  </rv>
  <rv s="7">
    <fb>97.29</fb>
    <v>13</v>
  </rv>
  <rv s="7">
    <fb>943.89</fb>
    <v>13</v>
  </rv>
  <rv s="7">
    <fb>259.77</fb>
    <v>13</v>
  </rv>
  <rv s="7">
    <fb>132.49</fb>
    <v>13</v>
  </rv>
  <rv s="7">
    <fb>206.14</fb>
    <v>13</v>
  </rv>
  <rv s="7">
    <fb>91.45</fb>
    <v>13</v>
  </rv>
  <rv s="7">
    <fb>143.69</fb>
    <v>13</v>
  </rv>
  <rv s="7">
    <fb>46266</fb>
    <v>12</v>
  </rv>
  <rv s="7">
    <fb>332.03</fb>
    <v>13</v>
  </rv>
  <rv s="7">
    <fb>81.849999999999994</fb>
    <v>13</v>
  </rv>
  <rv s="7">
    <fb>255.97</fb>
    <v>13</v>
  </rv>
  <rv s="7">
    <fb>105.92</fb>
    <v>13</v>
  </rv>
  <rv s="7">
    <fb>501.02</fb>
    <v>13</v>
  </rv>
  <rv s="7">
    <fb>325.13</fb>
    <v>13</v>
  </rv>
  <rv s="7">
    <fb>369.68</fb>
    <v>13</v>
  </rv>
  <rv s="7">
    <fb>90.39</fb>
    <v>13</v>
  </rv>
  <rv s="7">
    <fb>939.96</fb>
    <v>13</v>
  </rv>
  <rv s="7">
    <fb>254.92</fb>
    <v>13</v>
  </rv>
  <rv s="7">
    <fb>136.19</fb>
    <v>13</v>
  </rv>
  <rv s="7">
    <fb>211.05</fb>
    <v>13</v>
  </rv>
  <rv s="7">
    <fb>93.51</fb>
    <v>13</v>
  </rv>
  <rv s="7">
    <fb>142.22999999999999</fb>
    <v>13</v>
  </rv>
  <rv s="7">
    <fb>46267</fb>
    <v>12</v>
  </rv>
  <rv s="7">
    <fb>333.78</fb>
    <v>13</v>
  </rv>
  <rv s="7">
    <fb>80.930000000000007</fb>
    <v>13</v>
  </rv>
  <rv s="7">
    <fb>256.7</fb>
    <v>13</v>
  </rv>
  <rv s="7">
    <fb>104.94</fb>
    <v>13</v>
  </rv>
  <rv s="7">
    <fb>88.24</fb>
    <v>13</v>
  </rv>
  <rv s="7">
    <fb>9.35</fb>
    <v>13</v>
  </rv>
  <rv s="7">
    <fb>106.09</fb>
    <v>13</v>
  </rv>
  <rv s="7">
    <fb>324.95999999999998</fb>
    <v>13</v>
  </rv>
  <rv s="7">
    <fb>367.24</fb>
    <v>13</v>
  </rv>
  <rv s="7">
    <fb>89.12</fb>
    <v>13</v>
  </rv>
  <rv s="7">
    <fb>928.48</fb>
    <v>13</v>
  </rv>
  <rv s="7">
    <fb>254.98</fb>
    <v>13</v>
  </rv>
  <rv s="7">
    <fb>137.19999999999999</fb>
    <v>13</v>
  </rv>
  <rv s="7">
    <fb>211.78</fb>
    <v>13</v>
  </rv>
  <rv s="7">
    <fb>92.8</fb>
    <v>13</v>
  </rv>
  <rv s="7">
    <fb>140.71</fb>
    <v>13</v>
  </rv>
  <rv s="7">
    <fb>46268</fb>
    <v>12</v>
  </rv>
  <rv s="7">
    <fb>339.08</fb>
    <v>13</v>
  </rv>
  <rv s="7">
    <fb>84.56</fb>
    <v>13</v>
  </rv>
  <rv s="7">
    <fb>268.83</fb>
    <v>13</v>
  </rv>
  <rv s="7">
    <fb>106.46</fb>
    <v>13</v>
  </rv>
  <rv s="7">
    <fb>88.81</fb>
    <v>13</v>
  </rv>
  <rv s="7">
    <fb>9.57</fb>
    <v>13</v>
  </rv>
  <rv s="7">
    <fb>108.42</fb>
    <v>13</v>
  </rv>
  <rv s="7">
    <fb>510.12</fb>
    <v>13</v>
  </rv>
  <rv s="7">
    <fb>328.21</fb>
    <v>13</v>
  </rv>
  <rv s="7">
    <fb>357.16</fb>
    <v>13</v>
  </rv>
  <rv s="7">
    <fb>925.41</fb>
    <v>13</v>
  </rv>
  <rv s="7">
    <fb>135.72</fb>
    <v>13</v>
  </rv>
  <rv s="7">
    <fb>211.32</fb>
    <v>13</v>
  </rv>
  <rv s="7">
    <fb>92.33</fb>
    <v>13</v>
  </rv>
  <rv s="7">
    <fb>149.74</fb>
    <v>13</v>
  </rv>
  <rv s="7">
    <fb>46269</fb>
    <v>12</v>
  </rv>
  <rv s="7">
    <fb>335.31</fb>
    <v>13</v>
  </rv>
  <rv s="7">
    <fb>89.36</fb>
    <v>13</v>
  </rv>
  <rv s="7">
    <fb>280.52999999999997</fb>
    <v>13</v>
  </rv>
  <rv s="7">
    <fb>88.07</fb>
    <v>13</v>
  </rv>
  <rv s="7">
    <fb>9.6</fb>
    <v>13</v>
  </rv>
  <rv s="7">
    <fb>107.14</fb>
    <v>13</v>
  </rv>
  <rv s="7">
    <fb>499.7</fb>
    <v>13</v>
  </rv>
  <rv s="7">
    <fb>319.97000000000003</fb>
    <v>13</v>
  </rv>
  <rv s="7">
    <fb>357.89499999999998</fb>
    <v>13</v>
  </rv>
  <rv s="7">
    <fb>915.74</fb>
    <v>13</v>
  </rv>
  <rv s="7">
    <fb>258.51</fb>
    <v>13</v>
  </rv>
  <rv s="7">
    <fb>134.26</fb>
    <v>13</v>
  </rv>
  <rv s="7">
    <fb>208.6</fb>
    <v>13</v>
  </rv>
  <rv s="7">
    <fb>147.94999999999999</fb>
    <v>13</v>
  </rv>
  <rv s="7">
    <fb>46273</fb>
    <v>12</v>
  </rv>
  <rv s="7">
    <fb>335.38</fb>
    <v>13</v>
  </rv>
  <rv s="7">
    <fb>99.83</fb>
    <v>13</v>
  </rv>
  <rv s="7">
    <fb>290.83</fb>
    <v>13</v>
  </rv>
  <rv s="7">
    <fb>106.26</fb>
    <v>13</v>
  </rv>
  <rv s="7">
    <fb>106.05</fb>
    <v>13</v>
  </rv>
  <rv s="7">
    <fb>493.95</fb>
    <v>13</v>
  </rv>
  <rv s="7">
    <fb>368.56</fb>
    <v>13</v>
  </rv>
  <rv s="7">
    <fb>90.97</fb>
    <v>13</v>
  </rv>
  <rv s="7">
    <fb>910.18</fb>
    <v>13</v>
  </rv>
  <rv s="7">
    <fb>256.97000000000003</fb>
    <v>13</v>
  </rv>
  <rv s="7">
    <fb>135.04</fb>
    <v>13</v>
  </rv>
  <rv s="7">
    <fb>209.8</fb>
    <v>13</v>
  </rv>
  <rv s="7">
    <fb>95.32</fb>
    <v>13</v>
  </rv>
  <rv s="7">
    <fb>153.47</fb>
    <v>13</v>
  </rv>
  <rv s="7">
    <fb>46274</fb>
    <v>12</v>
  </rv>
  <rv s="7">
    <fb>94.94</fb>
    <v>13</v>
  </rv>
  <rv s="7">
    <fb>262.89</fb>
    <v>13</v>
  </rv>
  <rv s="7">
    <fb>105.11</fb>
    <v>13</v>
  </rv>
  <rv s="7">
    <fb>87.55</fb>
    <v>13</v>
  </rv>
  <rv s="7">
    <fb>105.83</fb>
    <v>13</v>
  </rv>
  <rv s="7">
    <fb>491.65</fb>
    <v>13</v>
  </rv>
  <rv s="7">
    <fb>315.33999999999997</fb>
    <v>13</v>
  </rv>
  <rv s="7">
    <fb>364.38</fb>
    <v>13</v>
  </rv>
  <rv s="7">
    <fb>90.28</fb>
    <v>13</v>
  </rv>
  <rv s="7">
    <fb>902.6</fb>
    <v>13</v>
  </rv>
  <rv s="7">
    <fb>136.53</fb>
    <v>13</v>
  </rv>
  <rv s="7">
    <fb>213.81</fb>
    <v>13</v>
  </rv>
  <rv s="7">
    <fb>95.6</fb>
    <v>13</v>
  </rv>
  <rv s="7">
    <fb>147.55000000000001</fb>
    <v>13</v>
  </rv>
  <rv s="7">
    <fb>46275</fb>
    <v>12</v>
  </rv>
  <rv s="7">
    <fb>330.39</fb>
    <v>13</v>
  </rv>
  <rv s="7">
    <fb>248.13</fb>
    <v>13</v>
  </rv>
  <rv s="7">
    <fb>9.15</fb>
    <v>13</v>
  </rv>
  <rv s="7">
    <fb>105.73</fb>
    <v>13</v>
  </rv>
  <rv s="7">
    <fb>492.44</fb>
    <v>13</v>
  </rv>
  <rv s="7">
    <fb>360.83</fb>
    <v>13</v>
  </rv>
  <rv s="7">
    <fb>902.38</fb>
    <v>13</v>
  </rv>
  <rv s="7">
    <fb>251.89</fb>
    <v>13</v>
  </rv>
  <rv s="7">
    <fb>137.04</fb>
    <v>13</v>
  </rv>
  <rv s="7">
    <fb>212.76</fb>
    <v>13</v>
  </rv>
  <rv s="7">
    <fb>95.96</fb>
    <v>13</v>
  </rv>
  <rv s="7">
    <fb>148.18</fb>
    <v>13</v>
  </rv>
  <rv s="7">
    <fb>46276</fb>
    <v>12</v>
  </rv>
  <rv s="7">
    <fb>335.45</fb>
    <v>13</v>
  </rv>
  <rv s="7">
    <fb>88.99</fb>
    <v>13</v>
  </rv>
  <rv s="7">
    <fb>257.06</fb>
    <v>13</v>
  </rv>
  <rv s="7">
    <fb>105.3</fb>
    <v>13</v>
  </rv>
  <rv s="7">
    <fb>88.29</fb>
    <v>13</v>
  </rv>
  <rv s="7">
    <fb>107.15</fb>
    <v>13</v>
  </rv>
  <rv s="7">
    <fb>495.63</fb>
    <v>13</v>
  </rv>
  <rv s="7">
    <fb>332.27</fb>
    <v>13</v>
  </rv>
  <rv s="7">
    <fb>361.99</fb>
    <v>13</v>
  </rv>
  <rv s="7">
    <fb>904.77</fb>
    <v>13</v>
  </rv>
  <rv s="7">
    <fb>256.77999999999997</fb>
    <v>13</v>
  </rv>
  <rv s="7">
    <fb>137.35</fb>
    <v>13</v>
  </rv>
  <rv s="7">
    <fb>214.06</fb>
    <v>13</v>
  </rv>
  <rv s="7">
    <fb>96.77</fb>
    <v>13</v>
  </rv>
  <rv s="7">
    <fb>151.21</fb>
    <v>13</v>
  </rv>
  <rv s="7">
    <fb>46279</fb>
    <v>12</v>
  </rv>
  <rv s="7">
    <fb>345.71</fb>
    <v>13</v>
  </rv>
  <rv s="7">
    <fb>82.98</fb>
    <v>13</v>
  </rv>
  <rv s="7">
    <fb>237.39</fb>
    <v>13</v>
  </rv>
  <rv s="7">
    <fb>103.94</fb>
    <v>13</v>
  </rv>
  <rv s="7">
    <fb>89.35</fb>
    <v>13</v>
  </rv>
  <rv s="7">
    <fb>109.08</fb>
    <v>13</v>
  </rv>
  <rv s="7">
    <fb>505.41</fb>
    <v>13</v>
  </rv>
  <rv s="7">
    <fb>333.08</fb>
    <v>13</v>
  </rv>
  <rv s="7">
    <fb>344.72</fb>
    <v>13</v>
  </rv>
  <rv s="7">
    <fb>90.75</fb>
    <v>13</v>
  </rv>
  <rv s="7">
    <fb>918.91</fb>
    <v>13</v>
  </rv>
  <rv s="7">
    <fb>253.54</fb>
    <v>13</v>
  </rv>
  <rv s="7">
    <fb>136.66999999999999</fb>
    <v>13</v>
  </rv>
  <rv s="7">
    <fb>212.17</fb>
    <v>13</v>
  </rv>
  <rv s="7">
    <fb>96.45</fb>
    <v>13</v>
  </rv>
  <rv s="7">
    <fb>148.15</fb>
    <v>13</v>
  </rv>
  <rv s="7">
    <fb>46280</fb>
    <v>12</v>
  </rv>
  <rv s="7">
    <fb>341.43</fb>
    <v>13</v>
  </rv>
  <rv s="7">
    <fb>80.92</fb>
    <v>13</v>
  </rv>
  <rv s="7">
    <fb>234.61</fb>
    <v>13</v>
  </rv>
  <rv s="7">
    <fb>102.22</fb>
    <v>13</v>
  </rv>
  <rv s="7">
    <fb>88.71</fb>
    <v>13</v>
  </rv>
  <rv s="7">
    <fb>108.09</fb>
    <v>13</v>
  </rv>
  <rv s="7">
    <fb>497.12</fb>
    <v>13</v>
  </rv>
  <rv s="7">
    <fb>331.34</fb>
    <v>13</v>
  </rv>
  <rv s="7">
    <fb>339.27</fb>
    <v>13</v>
  </rv>
  <rv s="7">
    <fb>88.8</fb>
    <v>13</v>
  </rv>
  <rv s="7">
    <fb>901.35</fb>
    <v>13</v>
  </rv>
  <rv s="7">
    <fb>248.42</fb>
    <v>13</v>
  </rv>
  <rv s="7">
    <fb>141.22</fb>
    <v>13</v>
  </rv>
  <rv s="7">
    <fb>217.77</fb>
    <v>13</v>
  </rv>
  <rv s="7">
    <fb>98.95</fb>
    <v>13</v>
  </rv>
  <rv s="7">
    <fb>143.49</fb>
    <v>13</v>
  </rv>
  <rv s="7">
    <fb>46281</fb>
    <v>12</v>
  </rv>
  <rv s="7">
    <fb>339.36</fb>
    <v>13</v>
  </rv>
  <rv s="7">
    <fb>83.35</fb>
    <v>13</v>
  </rv>
  <rv s="7">
    <fb>239.41</fb>
    <v>13</v>
  </rv>
  <rv s="7">
    <fb>100.84</fb>
    <v>13</v>
  </rv>
  <rv s="7">
    <fb>87.87</fb>
    <v>13</v>
  </rv>
  <rv s="7">
    <fb>490.3</fb>
    <v>13</v>
  </rv>
  <rv s="7">
    <fb>332.41</fb>
    <v>13</v>
  </rv>
  <rv s="7">
    <fb>339.51</fb>
    <v>13</v>
  </rv>
  <rv s="7">
    <fb>86.74</fb>
    <v>13</v>
  </rv>
  <rv s="7">
    <fb>893.74</fb>
    <v>13</v>
  </rv>
  <rv s="7">
    <fb>245.96</fb>
    <v>13</v>
  </rv>
  <rv s="7">
    <fb>132.54</fb>
    <v>13</v>
  </rv>
  <rv s="7">
    <fb>211.54</fb>
    <v>13</v>
  </rv>
  <rv s="7">
    <fb>150.88</fb>
    <v>13</v>
  </rv>
  <rv s="7">
    <fb>46282</fb>
    <v>12</v>
  </rv>
  <rv s="7">
    <fb>343.68</fb>
    <v>13</v>
  </rv>
  <rv s="7">
    <fb>79.88</fb>
    <v>13</v>
  </rv>
  <rv s="7">
    <fb>241.49</fb>
    <v>13</v>
  </rv>
  <rv s="7">
    <fb>102.84</fb>
    <v>13</v>
  </rv>
  <rv s="7">
    <fb>88.06</fb>
    <v>13</v>
  </rv>
  <rv s="7">
    <fb>9.16</fb>
    <v>13</v>
  </rv>
  <rv s="7">
    <fb>106.79</fb>
    <v>13</v>
  </rv>
  <rv s="7">
    <fb>497.75</fb>
    <v>13</v>
  </rv>
  <rv s="7">
    <fb>337</fb>
    <v>13</v>
  </rv>
  <rv s="7">
    <fb>347.3</fb>
    <v>13</v>
  </rv>
  <rv s="7">
    <fb>893.93</fb>
    <v>13</v>
  </rv>
  <rv s="7">
    <fb>251.19</fb>
    <v>13</v>
  </rv>
  <rv s="7">
    <fb>133.19</fb>
    <v>13</v>
  </rv>
  <rv s="7">
    <fb>211.57</fb>
    <v>13</v>
  </rv>
  <rv s="7">
    <fb>95.82</fb>
    <v>13</v>
  </rv>
  <rv s="7">
    <fb>154.81</fb>
    <v>13</v>
  </rv>
  <rv s="7">
    <fb>46283</fb>
    <v>12</v>
  </rv>
  <rv s="7">
    <fb>344.41</fb>
    <v>13</v>
  </rv>
  <rv s="7">
    <fb>81.36</fb>
    <v>13</v>
  </rv>
  <rv s="7">
    <fb>249.39</fb>
    <v>13</v>
  </rv>
  <rv s="7">
    <fb>101.83</fb>
    <v>13</v>
  </rv>
  <rv s="7">
    <fb>88.25</fb>
    <v>13</v>
  </rv>
  <rv s="7">
    <fb>106.73</fb>
    <v>13</v>
  </rv>
  <rv s="7">
    <fb>493.78</fb>
    <v>13</v>
  </rv>
  <rv s="7">
    <fb>336.13</fb>
    <v>13</v>
  </rv>
  <rv s="7">
    <fb>357.61</fb>
    <v>13</v>
  </rv>
  <rv s="7">
    <fb>895.31</fb>
    <v>13</v>
  </rv>
  <rv s="7">
    <fb>253.71</fb>
    <v>13</v>
  </rv>
  <rv s="7">
    <fb>131.83000000000001</fb>
    <v>13</v>
  </rv>
  <rv s="7">
    <fb>209.51</fb>
    <v>13</v>
  </rv>
  <rv s="7">
    <fb>94.54</fb>
    <v>13</v>
  </rv>
  <rv s="7">
    <fb>152.71</fb>
    <v>13</v>
  </rv>
  <rv s="7">
    <fb>46286</fb>
    <v>12</v>
  </rv>
  <rv s="7">
    <fb>350.87</fb>
    <v>13</v>
  </rv>
  <rv s="7">
    <fb>250.86</fb>
    <v>13</v>
  </rv>
  <rv s="7">
    <fb>87.12</fb>
    <v>13</v>
  </rv>
  <rv s="7">
    <fb>107.44</fb>
    <v>13</v>
  </rv>
  <rv s="7">
    <fb>501.61</fb>
    <v>13</v>
  </rv>
  <rv s="7">
    <fb>338.98</fb>
    <v>13</v>
  </rv>
  <rv s="7">
    <fb>362.66</fb>
    <v>13</v>
  </rv>
  <rv s="7">
    <fb>93.21</fb>
    <v>13</v>
  </rv>
  <rv s="7">
    <fb>898.48</fb>
    <v>13</v>
  </rv>
  <rv s="7">
    <fb>258.45</fb>
    <v>13</v>
  </rv>
  <rv s="7">
    <fb>127.53</fb>
    <v>13</v>
  </rv>
  <rv s="7">
    <fb>203.67</fb>
    <v>13</v>
  </rv>
  <rv s="7">
    <fb>93.27</fb>
    <v>13</v>
  </rv>
  <rv s="7">
    <fb>151.85</fb>
    <v>13</v>
  </rv>
  <rv s="7">
    <fb>46287</fb>
    <v>12</v>
  </rv>
  <rv s="7">
    <fb>347.41</fb>
    <v>13</v>
  </rv>
  <rv s="7">
    <fb>86.76</fb>
    <v>13</v>
  </rv>
  <rv s="7">
    <fb>253.46</fb>
    <v>13</v>
  </rv>
  <rv s="7">
    <fb>88.61</fb>
    <v>13</v>
  </rv>
  <rv s="7">
    <fb>110.12</fb>
    <v>13</v>
  </rv>
  <rv s="7">
    <fb>498</fb>
    <v>13</v>
  </rv>
  <rv s="7">
    <fb>339.75</fb>
    <v>13</v>
  </rv>
  <rv s="7">
    <fb>364.54</fb>
    <v>13</v>
  </rv>
  <rv s="7">
    <fb>899.41</fb>
    <v>13</v>
  </rv>
  <rv s="7">
    <fb>125.27</fb>
    <v>13</v>
  </rv>
  <rv s="7">
    <fb>202.41</fb>
    <v>13</v>
  </rv>
  <rv s="7">
    <fb>93.93</fb>
    <v>13</v>
  </rv>
  <rv s="7">
    <fb>154.72</fb>
    <v>13</v>
  </rv>
  <rv s="7">
    <fb>46288</fb>
    <v>12</v>
  </rv>
  <rv s="7">
    <fb>334.98</fb>
    <v>13</v>
  </rv>
  <rv s="7">
    <fb>86.9</fb>
    <v>13</v>
  </rv>
  <rv s="7">
    <fb>248.78</fb>
    <v>13</v>
  </rv>
  <rv s="7">
    <fb>100.25</fb>
    <v>13</v>
  </rv>
  <rv s="7">
    <fb>88.09</fb>
    <v>13</v>
  </rv>
  <rv s="7">
    <fb>9.4</fb>
    <v>13</v>
  </rv>
  <rv s="7">
    <fb>500.59</fb>
    <v>13</v>
  </rv>
  <rv s="7">
    <fb>337.02</fb>
    <v>13</v>
  </rv>
  <rv s="7">
    <fb>354.99</fb>
    <v>13</v>
  </rv>
  <rv s="7">
    <fb>91.56</fb>
    <v>13</v>
  </rv>
  <rv s="7">
    <fb>904.7</fb>
    <v>13</v>
  </rv>
  <rv s="7">
    <fb>249.27</fb>
    <v>13</v>
  </rv>
  <rv s="7">
    <fb>128.09</fb>
    <v>13</v>
  </rv>
  <rv s="7">
    <fb>205.51</fb>
    <v>13</v>
  </rv>
  <rv s="7">
    <fb>95.41</fb>
    <v>13</v>
  </rv>
  <rv s="7">
    <fb>148.36000000000001</fb>
    <v>13</v>
  </rv>
  <rv s="7">
    <fb>46289</fb>
    <v>12</v>
  </rv>
  <rv s="7">
    <fb>339.01</fb>
    <v>13</v>
  </rv>
  <rv s="7">
    <fb>245.3</fb>
    <v>13</v>
  </rv>
  <rv s="7">
    <fb>100.17</fb>
    <v>13</v>
  </rv>
  <rv s="7">
    <fb>9.3000000000000007</fb>
    <v>13</v>
  </rv>
  <rv s="7">
    <fb>497.93</fb>
    <v>13</v>
  </rv>
  <rv s="7">
    <fb>335.92</fb>
    <v>13</v>
  </rv>
  <rv s="7">
    <fb>350.36</fb>
    <v>13</v>
  </rv>
  <rv s="7">
    <fb>896.48</fb>
    <v>13</v>
  </rv>
  <rv s="7">
    <fb>249.38</fb>
    <v>13</v>
  </rv>
  <rv s="7">
    <fb>129.34</fb>
    <v>13</v>
  </rv>
  <rv s="7">
    <fb>205.65</fb>
    <v>13</v>
  </rv>
  <rv s="7">
    <fb>148.03</fb>
    <v>13</v>
  </rv>
  <rv s="7">
    <fb>46290</fb>
    <v>12</v>
  </rv>
  <rv s="7">
    <fb>341.08</fb>
    <v>13</v>
  </rv>
  <rv s="7">
    <fb>253.28</fb>
    <v>13</v>
  </rv>
  <rv s="7">
    <fb>100.95</fb>
    <v>13</v>
  </rv>
  <rv s="7">
    <fb>9.39</fb>
    <v>13</v>
  </rv>
  <rv s="7">
    <fb>107.98</fb>
    <v>13</v>
  </rv>
  <rv s="7">
    <fb>516.16999999999996</fb>
    <v>13</v>
  </rv>
  <rv s="7">
    <fb>341.07</fb>
    <v>13</v>
  </rv>
  <rv s="7">
    <fb>352.81</fb>
    <v>13</v>
  </rv>
  <rv s="7">
    <fb>89.24</fb>
    <v>13</v>
  </rv>
  <rv s="7">
    <fb>922.76499999999999</fb>
    <v>13</v>
  </rv>
  <rv s="7">
    <fb>249.67</fb>
    <v>13</v>
  </rv>
  <rv s="7">
    <fb>204.45</fb>
    <v>13</v>
  </rv>
  <rv s="7">
    <fb>95.78</fb>
    <v>13</v>
  </rv>
  <rv s="7">
    <fb>148.68</fb>
    <v>13</v>
  </rv>
  <rv s="7">
    <fb>46293</fb>
    <v>12</v>
  </rv>
  <rv s="7">
    <fb>339.16</fb>
    <v>13</v>
  </rv>
  <rv s="7">
    <fb>85.07</fb>
    <v>13</v>
  </rv>
  <rv s="7">
    <fb>244.04</fb>
    <v>13</v>
  </rv>
  <rv s="7">
    <fb>87.18</fb>
    <v>13</v>
  </rv>
  <rv s="7">
    <fb>108.73</fb>
    <v>13</v>
  </rv>
  <rv s="7">
    <fb>509.22</fb>
    <v>13</v>
  </rv>
  <rv s="7">
    <fb>338.4</fb>
    <v>13</v>
  </rv>
  <rv s="7">
    <fb>349.57</fb>
    <v>13</v>
  </rv>
  <rv s="7">
    <fb>87.08</fb>
    <v>13</v>
  </rv>
  <rv s="7">
    <fb>922.92</fb>
    <v>13</v>
  </rv>
  <rv s="7">
    <fb>246.15</fb>
    <v>13</v>
  </rv>
  <rv s="7">
    <fb>126.04</fb>
    <v>13</v>
  </rv>
  <rv s="7">
    <fb>206.37</fb>
    <v>13</v>
  </rv>
  <rv s="7">
    <fb>96.47</fb>
    <v>13</v>
  </rv>
  <rv s="7">
    <fb>145.47</fb>
    <v>13</v>
  </rv>
  <rv s="7">
    <fb>46294</fb>
    <v>12</v>
  </rv>
  <rv s="7">
    <fb>337.32</fb>
    <v>13</v>
  </rv>
  <rv s="7">
    <fb>85.93</fb>
    <v>13</v>
  </rv>
  <rv s="7">
    <fb>248.34</fb>
    <v>13</v>
  </rv>
  <rv s="7">
    <fb>100.72</fb>
    <v>13</v>
  </rv>
  <rv s="7">
    <fb>9.52</fb>
    <v>13</v>
  </rv>
  <rv s="7">
    <fb>106.8</fb>
    <v>13</v>
  </rv>
  <rv s="7">
    <fb>508.96</fb>
    <v>13</v>
  </rv>
  <rv s="7">
    <fb>329.4</fb>
    <v>13</v>
  </rv>
  <rv s="7">
    <fb>355.1</fb>
    <v>13</v>
  </rv>
  <rv s="7">
    <fb>86.18</fb>
    <v>13</v>
  </rv>
  <rv s="7">
    <fb>924.59</fb>
    <v>13</v>
  </rv>
  <rv s="7">
    <fb>246.67</fb>
    <v>13</v>
  </rv>
  <rv s="7">
    <fb>125.44</fb>
    <v>13</v>
  </rv>
  <rv s="7">
    <fb>204.38</fb>
    <v>13</v>
  </rv>
  <rv s="7">
    <fb>95.14</fb>
    <v>13</v>
  </rv>
  <rv s="7">
    <fb>149.24</fb>
    <v>13</v>
  </rv>
  <rv s="7">
    <fb>46295</fb>
    <v>12</v>
  </rv>
  <rv s="7">
    <fb>340.74</fb>
    <v>13</v>
  </rv>
  <rv s="7">
    <fb>241.31</fb>
    <v>13</v>
  </rv>
  <rv s="7">
    <fb>99.31</fb>
    <v>13</v>
  </rv>
  <rv s="7">
    <fb>86.08</fb>
    <v>13</v>
  </rv>
  <rv s="7">
    <fb>9.69</fb>
    <v>13</v>
  </rv>
  <rv s="7">
    <fb>103.92</fb>
    <v>13</v>
  </rv>
  <rv s="7">
    <fb>512.9</fb>
    <v>13</v>
  </rv>
  <rv s="7">
    <fb>351.19</fb>
    <v>13</v>
  </rv>
  <rv s="7">
    <fb>910.34</fb>
    <v>13</v>
  </rv>
  <rv s="7">
    <fb>249.15</fb>
    <v>13</v>
  </rv>
  <rv s="7">
    <fb>125.15</fb>
    <v>13</v>
  </rv>
  <rv s="7">
    <fb>204.21</fb>
    <v>13</v>
  </rv>
  <rv s="7">
    <fb>95.05</fb>
    <v>13</v>
  </rv>
  <rv s="7">
    <fb>150.86000000000001</fb>
    <v>13</v>
  </rv>
  <rv s="7">
    <fb>46296</fb>
    <v>12</v>
  </rv>
  <rv s="7">
    <fb>334.93</fb>
    <v>13</v>
  </rv>
  <rv s="7">
    <fb>246.12</fb>
    <v>13</v>
  </rv>
  <rv s="7">
    <fb>86.1</fb>
    <v>13</v>
  </rv>
  <rv s="7">
    <fb>9.64</fb>
    <v>13</v>
  </rv>
  <rv s="7">
    <fb>104.26</fb>
    <v>13</v>
  </rv>
  <rv s="7">
    <fb>512.79999999999995</fb>
    <v>13</v>
  </rv>
  <rv s="7">
    <fb>330.32</fb>
    <v>13</v>
  </rv>
  <rv s="7">
    <fb>343.64</fb>
    <v>13</v>
  </rv>
  <rv s="7">
    <fb>85.81</fb>
    <v>13</v>
  </rv>
  <rv s="7">
    <fb>914.94</fb>
    <v>13</v>
  </rv>
  <rv s="7">
    <fb>248.23</fb>
    <v>13</v>
  </rv>
  <rv s="7">
    <fb>127.06</fb>
    <v>13</v>
  </rv>
  <rv s="7">
    <fb>207.1</fb>
    <v>13</v>
  </rv>
  <rv s="7">
    <fb>148.07</fb>
    <v>13</v>
  </rv>
  <rv s="7">
    <fb>46297</fb>
    <v>12</v>
  </rv>
  <rv s="7">
    <fb>340.35</fb>
    <v>13</v>
  </rv>
  <rv s="7">
    <fb>89.62</fb>
    <v>13</v>
  </rv>
  <rv s="7">
    <fb>252.18</fb>
    <v>13</v>
  </rv>
  <rv s="7">
    <fb>96.14</fb>
    <v>13</v>
  </rv>
  <rv s="7">
    <fb>85.65</fb>
    <v>13</v>
  </rv>
  <rv s="7">
    <fb>9.7899999999999991</fb>
    <v>13</v>
  </rv>
  <rv s="7">
    <fb>517.53</fb>
    <v>13</v>
  </rv>
  <rv s="7">
    <fb>333.69</fb>
    <v>13</v>
  </rv>
  <rv s="7">
    <fb>355.14</fb>
    <v>13</v>
  </rv>
  <rv s="7">
    <fb>920.65</fb>
    <v>13</v>
  </rv>
  <rv s="7">
    <fb>251.52</fb>
    <v>13</v>
  </rv>
  <rv s="7">
    <fb>206.69</fb>
    <v>13</v>
  </rv>
  <rv s="7">
    <fb>96.23</fb>
    <v>13</v>
  </rv>
  <rv s="7">
    <fb>158.96</fb>
    <v>13</v>
  </rv>
  <rv s="7">
    <fb>46300</fb>
    <v>12</v>
  </rv>
  <rv s="7">
    <fb>343.83</fb>
    <v>13</v>
  </rv>
  <rv s="7">
    <fb>87.39</fb>
    <v>13</v>
  </rv>
  <rv s="7">
    <fb>253.62</fb>
    <v>13</v>
  </rv>
  <rv s="7">
    <fb>96.68</fb>
    <v>13</v>
  </rv>
  <rv s="7">
    <fb>86.51</fb>
    <v>13</v>
  </rv>
  <rv s="7">
    <fb>10</fb>
    <v>13</v>
  </rv>
  <rv s="7">
    <fb>105.07</fb>
    <v>13</v>
  </rv>
  <rv s="7">
    <fb>525.17999999999995</fb>
    <v>13</v>
  </rv>
  <rv s="7">
    <fb>332.89</fb>
    <v>13</v>
  </rv>
  <rv s="7">
    <fb>362.51</fb>
    <v>13</v>
  </rv>
  <rv s="7">
    <fb>89.05</fb>
    <v>13</v>
  </rv>
  <rv s="7">
    <fb>923.52</fb>
    <v>13</v>
  </rv>
  <rv s="7">
    <fb>251.4</fb>
    <v>13</v>
  </rv>
  <rv s="7">
    <fb>128.4</fb>
    <v>13</v>
  </rv>
  <rv s="7">
    <fb>206.47</fb>
    <v>13</v>
  </rv>
  <rv s="7">
    <fb>96.52</fb>
    <v>13</v>
  </rv>
  <rv s="7">
    <fb>171.09</fb>
    <v>13</v>
  </rv>
  <rv s="7">
    <fb>46301</fb>
    <v>12</v>
  </rv>
  <rv s="7">
    <fb>91.72</fb>
    <v>13</v>
  </rv>
  <rv s="7">
    <fb>253.14</fb>
    <v>13</v>
  </rv>
  <rv s="7">
    <fb>97.58</fb>
    <v>13</v>
  </rv>
  <rv s="7">
    <fb>86.17</fb>
    <v>13</v>
  </rv>
  <rv s="7">
    <fb>10.02</fb>
    <v>13</v>
  </rv>
  <rv s="7">
    <fb>107.2</fb>
    <v>13</v>
  </rv>
  <rv s="7">
    <fb>529.29999999999995</fb>
    <v>13</v>
  </rv>
  <rv s="7">
    <fb>333.63</fb>
    <v>13</v>
  </rv>
  <rv s="7">
    <fb>375.81</fb>
    <v>13</v>
  </rv>
  <rv s="7">
    <fb>90.58</fb>
    <v>13</v>
  </rv>
  <rv s="7">
    <fb>935.68</fb>
    <v>13</v>
  </rv>
  <rv s="7">
    <fb>256.29000000000002</fb>
    <v>13</v>
  </rv>
  <rv s="7">
    <fb>207.58</fb>
    <v>13</v>
  </rv>
  <rv s="7">
    <fb>97.62</fb>
    <v>13</v>
  </rv>
  <rv s="7">
    <fb>171.92</fb>
    <v>13</v>
  </rv>
  <rv s="7">
    <fb>46302</fb>
    <v>12</v>
  </rv>
  <rv s="7">
    <fb>347.37</fb>
    <v>13</v>
  </rv>
  <rv s="7">
    <fb>88.45</fb>
    <v>13</v>
  </rv>
  <rv s="7">
    <fb>246.49</fb>
    <v>13</v>
  </rv>
  <rv s="7">
    <fb>93.71</fb>
    <v>13</v>
  </rv>
  <rv s="7">
    <fb>85.82</fb>
    <v>13</v>
  </rv>
  <rv s="7">
    <fb>9.93</fb>
    <v>13</v>
  </rv>
  <rv s="7">
    <fb>108.16</fb>
    <v>13</v>
  </rv>
  <rv s="7">
    <fb>529.76</fb>
    <v>13</v>
  </rv>
  <rv s="7">
    <fb>336.67</fb>
    <v>13</v>
  </rv>
  <rv s="7">
    <fb>376.51</fb>
    <v>13</v>
  </rv>
  <rv s="7">
    <fb>87.74</fb>
    <v>13</v>
  </rv>
  <rv s="7">
    <fb>942.25</fb>
    <v>13</v>
  </rv>
  <rv s="7">
    <fb>259.92</fb>
    <v>13</v>
  </rv>
  <rv s="7">
    <fb>129.84</fb>
    <v>13</v>
  </rv>
  <rv s="7">
    <fb>96.85</fb>
    <v>13</v>
  </rv>
  <rv s="7">
    <fb>167.6</fb>
    <v>13</v>
  </rv>
  <rv s="7">
    <fb>46303</fb>
    <v>12</v>
  </rv>
  <rv s="7">
    <fb>344.86</fb>
    <v>13</v>
  </rv>
  <rv s="7">
    <fb>81.58</fb>
    <v>13</v>
  </rv>
  <rv s="7">
    <fb>243.73</fb>
    <v>13</v>
  </rv>
  <rv s="7">
    <fb>92.61</fb>
    <v>13</v>
  </rv>
  <rv s="7">
    <fb>9.75</fb>
    <v>13</v>
  </rv>
  <rv s="7">
    <fb>110.56</fb>
    <v>13</v>
  </rv>
  <rv s="7">
    <fb>522.61</fb>
    <v>13</v>
  </rv>
  <rv s="7">
    <fb>340.42</fb>
    <v>13</v>
  </rv>
  <rv s="7">
    <fb>360.14</fb>
    <v>13</v>
  </rv>
  <rv s="7">
    <fb>86.47</fb>
    <v>13</v>
  </rv>
  <rv s="7">
    <fb>947.92</fb>
    <v>13</v>
  </rv>
  <rv s="7">
    <fb>254.06</fb>
    <v>13</v>
  </rv>
  <rv s="7">
    <fb>134.19</fb>
    <v>13</v>
  </rv>
  <rv s="7">
    <fb>211.55</fb>
    <v>13</v>
  </rv>
  <rv s="7">
    <fb>100.2</fb>
    <v>13</v>
  </rv>
  <rv s="7">
    <fb>160.57</fb>
    <v>13</v>
  </rv>
  <rv s="7">
    <fb>46304</fb>
    <v>12</v>
  </rv>
  <rv s="7">
    <fb>347.86</fb>
    <v>13</v>
  </rv>
  <rv s="7">
    <fb>242.78</fb>
    <v>13</v>
  </rv>
  <rv s="7">
    <fb>88.05</fb>
    <v>13</v>
  </rv>
  <rv s="7">
    <fb>111.35</fb>
    <v>13</v>
  </rv>
  <rv s="7">
    <fb>535.07000000000005</fb>
    <v>13</v>
  </rv>
  <rv s="7">
    <fb>336.64</fb>
    <v>13</v>
  </rv>
  <rv s="7">
    <fb>361.54</fb>
    <v>13</v>
  </rv>
  <rv s="7">
    <fb>946.92</fb>
    <v>13</v>
  </rv>
  <rv s="7">
    <fb>262.43</fb>
    <v>13</v>
  </rv>
  <rv s="7">
    <fb>134.1</fb>
    <v>13</v>
  </rv>
  <rv s="7">
    <fb>211.98</fb>
    <v>13</v>
  </rv>
  <rv s="7">
    <fb>100.18</fb>
    <v>13</v>
  </rv>
  <rv s="7">
    <fb>162.57</fb>
    <v>13</v>
  </rv>
  <rv s="7">
    <fb>46307</fb>
    <v>12</v>
  </rv>
  <rv s="7">
    <fb>348.97</fb>
    <v>13</v>
  </rv>
  <rv s="7">
    <fb>239.36</fb>
    <v>13</v>
  </rv>
  <rv s="7">
    <fb>94.32</fb>
    <v>13</v>
  </rv>
  <rv s="7">
    <fb>89.79</fb>
    <v>13</v>
  </rv>
  <rv s="7">
    <fb>113.08</fb>
    <v>13</v>
  </rv>
  <rv s="7">
    <fb>541.15</fb>
    <v>13</v>
  </rv>
  <rv s="7">
    <fb>340.97</fb>
    <v>13</v>
  </rv>
  <rv s="7">
    <fb>354.73</fb>
    <v>13</v>
  </rv>
  <rv s="7">
    <fb>87.89</fb>
    <v>13</v>
  </rv>
  <rv s="7">
    <fb>959.44</fb>
    <v>13</v>
  </rv>
  <rv s="7">
    <fb>259.52999999999997</fb>
    <v>13</v>
  </rv>
  <rv s="7">
    <fb>137.56</fb>
    <v>13</v>
  </rv>
  <rv s="7">
    <fb>215</fb>
    <v>13</v>
  </rv>
  <rv s="7">
    <fb>163.41999999999999</fb>
    <v>13</v>
  </rv>
  <rv s="7">
    <fb>46308</fb>
    <v>12</v>
  </rv>
  <rv s="7">
    <fb>349.52</fb>
    <v>13</v>
  </rv>
  <rv s="7">
    <fb>77.81</fb>
    <v>13</v>
  </rv>
  <rv s="7">
    <fb>237.29</fb>
    <v>13</v>
  </rv>
  <rv s="7">
    <fb>94.85</fb>
    <v>13</v>
  </rv>
  <rv s="7">
    <fb>90.11</fb>
    <v>13</v>
  </rv>
  <rv s="7">
    <fb>112.28</fb>
    <v>13</v>
  </rv>
  <rv s="7">
    <fb>543.45000000000005</fb>
    <v>13</v>
  </rv>
  <rv s="7">
    <fb>341.27</fb>
    <v>13</v>
  </rv>
  <rv s="7">
    <fb>357.31</fb>
    <v>13</v>
  </rv>
  <rv s="7">
    <fb>87.49</fb>
    <v>13</v>
  </rv>
  <rv s="7">
    <fb>954.63</fb>
    <v>13</v>
  </rv>
  <rv s="7">
    <fb>258.58</fb>
    <v>13</v>
  </rv>
  <rv s="7">
    <fb>140.9</fb>
    <v>13</v>
  </rv>
  <rv s="7">
    <fb>217.73</fb>
    <v>13</v>
  </rv>
  <rv s="7">
    <fb>102.99</fb>
    <v>13</v>
  </rv>
  <rv s="7">
    <fb>46309</fb>
    <v>12</v>
  </rv>
  <rv s="7">
    <fb>343.65</fb>
    <v>13</v>
  </rv>
  <rv s="7">
    <fb>65.78</fb>
    <v>13</v>
  </rv>
  <rv s="7">
    <fb>222.83</fb>
    <v>13</v>
  </rv>
  <rv s="7">
    <fb>93.91</fb>
    <v>13</v>
  </rv>
  <rv s="7">
    <fb>91.78</fb>
    <v>13</v>
  </rv>
  <rv s="7">
    <fb>9.25</fb>
    <v>13</v>
  </rv>
  <rv s="7">
    <fb>116.16</fb>
    <v>13</v>
  </rv>
  <rv s="7">
    <fb>533.69000000000005</fb>
    <v>13</v>
  </rv>
  <rv s="7">
    <fb>342.96</fb>
    <v>13</v>
  </rv>
  <rv s="7">
    <fb>346.25</fb>
    <v>13</v>
  </rv>
  <rv s="7">
    <fb>982</fb>
    <v>13</v>
  </rv>
  <rv s="7">
    <fb>254.08</fb>
    <v>13</v>
  </rv>
  <rv s="7">
    <fb>142.34</fb>
    <v>13</v>
  </rv>
  <rv s="7">
    <fb>222.04</fb>
    <v>13</v>
  </rv>
  <rv s="7">
    <fb>46310</fb>
    <v>12</v>
  </rv>
  <rv s="7">
    <fb>344.91</fb>
    <v>13</v>
  </rv>
  <rv s="7">
    <fb>69.69</fb>
    <v>13</v>
  </rv>
  <rv s="7">
    <fb>214.75</fb>
    <v>13</v>
  </rv>
  <rv s="7">
    <fb>539.44000000000005</fb>
    <v>13</v>
  </rv>
  <rv s="7">
    <fb>342</fb>
    <v>13</v>
  </rv>
  <rv s="7">
    <fb>344.33</fb>
    <v>13</v>
  </rv>
  <rv s="7">
    <fb>86.03</fb>
    <v>13</v>
  </rv>
  <rv s="7">
    <fb>978.01</fb>
    <v>13</v>
  </rv>
  <rv s="7">
    <fb>254.76</fb>
    <v>13</v>
  </rv>
  <rv s="7">
    <fb>141.72999999999999</fb>
    <v>13</v>
  </rv>
  <rv s="7">
    <fb>219.32</fb>
    <v>13</v>
  </rv>
  <rv s="7">
    <fb>103.55</fb>
    <v>13</v>
  </rv>
  <rv s="7">
    <fb>148.62</fb>
    <v>13</v>
  </rv>
  <rv s="7">
    <fb>46311</fb>
    <v>12</v>
  </rv>
  <rv s="7">
    <fb>61.39</fb>
    <v>13</v>
  </rv>
  <rv s="7">
    <fb>206.42</fb>
    <v>13</v>
  </rv>
  <rv s="7">
    <fb>93.9</fb>
    <v>13</v>
  </rv>
  <rv s="7">
    <fb>9.1199999999999992</fb>
    <v>13</v>
  </rv>
  <rv s="7">
    <fb>118.81</fb>
    <v>13</v>
  </rv>
  <rv s="7">
    <fb>529.04999999999995</fb>
    <v>13</v>
  </rv>
  <rv s="7">
    <fb>343.46</fb>
    <v>13</v>
  </rv>
  <rv s="7">
    <fb>328.75</fb>
    <v>13</v>
  </rv>
  <rv s="7">
    <fb>82.69</fb>
    <v>13</v>
  </rv>
  <rv s="7">
    <fb>989.11</fb>
    <v>13</v>
  </rv>
  <rv s="7">
    <fb>250</fb>
    <v>13</v>
  </rv>
  <rv s="7">
    <fb>146.51</fb>
    <v>13</v>
  </rv>
  <rv s="7">
    <fb>224.99</fb>
    <v>13</v>
  </rv>
  <rv s="7">
    <fb>106.66</fb>
    <v>13</v>
  </rv>
  <rv s="7">
    <fb>146.03</fb>
    <v>13</v>
  </rv>
  <rv s="7">
    <fb>46314</fb>
    <v>12</v>
  </rv>
  <rv s="7">
    <fb>340.16</fb>
    <v>13</v>
  </rv>
  <rv s="7">
    <fb>61.12</fb>
    <v>13</v>
  </rv>
  <rv s="7">
    <fb>206.08</fb>
    <v>13</v>
  </rv>
  <rv s="7">
    <fb>92.96</fb>
    <v>13</v>
  </rv>
  <rv s="7">
    <fb>93.42</fb>
    <v>13</v>
  </rv>
  <rv s="7">
    <fb>118.7</fb>
    <v>13</v>
  </rv>
  <rv s="7">
    <fb>533.52</fb>
    <v>13</v>
  </rv>
  <rv s="7">
    <fb>342.94</fb>
    <v>13</v>
  </rv>
  <rv s="7">
    <fb>334.59</fb>
    <v>13</v>
  </rv>
  <rv s="7">
    <fb>995.53</fb>
    <v>13</v>
  </rv>
  <rv s="7">
    <fb>262.45</fb>
    <v>13</v>
  </rv>
  <rv s="7">
    <fb>145.24</fb>
    <v>13</v>
  </rv>
  <rv s="7">
    <fb>224.37</fb>
    <v>13</v>
  </rv>
  <rv s="7">
    <fb>104.82</fb>
    <v>13</v>
  </rv>
  <rv s="7">
    <fb>147.96</fb>
    <v>13</v>
  </rv>
  <rv s="7">
    <fb>46315</fb>
    <v>12</v>
  </rv>
  <rv s="7">
    <fb>336.4</fb>
    <v>13</v>
  </rv>
  <rv s="7">
    <fb>62.13</fb>
    <v>13</v>
  </rv>
  <rv s="7">
    <fb>203.56</fb>
    <v>13</v>
  </rv>
  <rv s="7">
    <fb>93.49</fb>
    <v>13</v>
  </rv>
  <rv s="7">
    <fb>9.0399999999999991</fb>
    <v>13</v>
  </rv>
  <rv s="7">
    <fb>117.85</fb>
    <v>13</v>
  </rv>
  <rv s="7">
    <fb>531.87</fb>
    <v>13</v>
  </rv>
  <rv s="7">
    <fb>339.5</fb>
    <v>13</v>
  </rv>
  <rv s="7">
    <fb>334.37</fb>
    <v>13</v>
  </rv>
  <rv s="7">
    <fb>82.91</fb>
    <v>13</v>
  </rv>
  <rv s="7">
    <fb>994.61</fb>
    <v>13</v>
  </rv>
  <rv s="7">
    <fb>262.63</fb>
    <v>13</v>
  </rv>
  <rv s="7">
    <fb>145.94999999999999</fb>
    <v>13</v>
  </rv>
  <rv s="7">
    <fb>225.71</fb>
    <v>13</v>
  </rv>
  <rv s="7">
    <fb>105.54</fb>
    <v>13</v>
  </rv>
  <rv s="7">
    <fb>147.79</fb>
    <v>13</v>
  </rv>
  <rv s="7">
    <fb>46316</fb>
    <v>12</v>
  </rv>
  <rv s="7">
    <fb>330.95</fb>
    <v>13</v>
  </rv>
  <rv s="7">
    <fb>61.82</fb>
    <v>13</v>
  </rv>
  <rv s="7">
    <fb>212.15</fb>
    <v>13</v>
  </rv>
  <rv s="7">
    <fb>92.68</fb>
    <v>13</v>
  </rv>
  <rv s="7">
    <fb>9.2899999999999991</fb>
    <v>13</v>
  </rv>
  <rv s="7">
    <fb>117.8</fb>
    <v>13</v>
  </rv>
  <rv s="7">
    <fb>532.95000000000005</fb>
    <v>13</v>
  </rv>
  <rv s="7">
    <fb>343.99</fb>
    <v>13</v>
  </rv>
  <rv s="7">
    <fb>337.8</fb>
    <v>13</v>
  </rv>
  <rv s="7">
    <fb>998.31</fb>
    <v>13</v>
  </rv>
  <rv s="7">
    <fb>262.37</fb>
    <v>13</v>
  </rv>
  <rv s="7">
    <fb>145.66999999999999</fb>
    <v>13</v>
  </rv>
  <rv s="7">
    <fb>226.78</fb>
    <v>13</v>
  </rv>
  <rv s="7">
    <fb>105.36</fb>
    <v>13</v>
  </rv>
  <rv s="7">
    <fb>159.31</fb>
    <v>13</v>
  </rv>
  <rv s="7">
    <fb>46317</fb>
    <v>12</v>
  </rv>
  <rv s="7">
    <fb>320.76</fb>
    <v>13</v>
  </rv>
  <rv s="7">
    <fb>55.6</fb>
    <v>13</v>
  </rv>
  <rv s="7">
    <fb>195.59</fb>
    <v>13</v>
  </rv>
  <rv s="7">
    <fb>91.89</fb>
    <v>13</v>
  </rv>
  <rv s="7">
    <fb>95.34</fb>
    <v>13</v>
  </rv>
  <rv s="7">
    <fb>121.12</fb>
    <v>13</v>
  </rv>
  <rv s="7">
    <fb>521.08000000000004</fb>
    <v>13</v>
  </rv>
  <rv s="7">
    <fb>348.22</fb>
    <v>13</v>
  </rv>
  <rv s="7">
    <fb>323.24</fb>
    <v>13</v>
  </rv>
  <rv s="7">
    <fb>1018.21</fb>
    <v>13</v>
  </rv>
  <rv s="7">
    <fb>250.38</fb>
    <v>13</v>
  </rv>
  <rv s="7">
    <fb>145.63</fb>
    <v>13</v>
  </rv>
  <rv s="7">
    <fb>226.68</fb>
    <v>13</v>
  </rv>
  <rv s="7">
    <fb>105.8</fb>
    <v>13</v>
  </rv>
  <rv s="7">
    <fb>144.75</fb>
    <v>13</v>
  </rv>
  <rv s="7">
    <fb>46318</fb>
    <v>12</v>
  </rv>
  <rv s="7">
    <fb>317.27999999999997</fb>
    <v>13</v>
  </rv>
  <rv s="7">
    <fb>54.234999999999999</fb>
    <v>13</v>
  </rv>
  <rv s="7">
    <fb>194.32</fb>
    <v>13</v>
  </rv>
  <rv s="7">
    <fb>90.68</fb>
    <v>13</v>
  </rv>
  <rv s="7">
    <fb>92.71</fb>
    <v>13</v>
  </rv>
  <rv s="7">
    <fb>8.83</fb>
    <v>13</v>
  </rv>
  <rv s="7">
    <fb>119.89</fb>
    <v>13</v>
  </rv>
  <rv s="7">
    <fb>524.51</fb>
    <v>13</v>
  </rv>
  <rv s="7">
    <fb>347.72500000000002</fb>
    <v>13</v>
  </rv>
  <rv s="7">
    <fb>321.68</fb>
    <v>13</v>
  </rv>
  <rv s="7">
    <fb>248</fb>
    <v>13</v>
  </rv>
  <rv s="7">
    <fb>150.80000000000001</fb>
    <v>13</v>
  </rv>
  <rv s="7">
    <fb>233.21</fb>
    <v>13</v>
  </rv>
  <rv s="7">
    <fb>108.18</fb>
    <v>13</v>
  </rv>
  <rv s="7">
    <fb>147.49</fb>
    <v>13</v>
  </rv>
  <rv s="7">
    <fb>46321</fb>
    <v>12</v>
  </rv>
  <rv s="7">
    <fb>314.19</fb>
    <v>13</v>
  </rv>
  <rv s="7">
    <fb>55.19</fb>
    <v>13</v>
  </rv>
  <rv s="7">
    <fb>199.78</fb>
    <v>13</v>
  </rv>
  <rv s="7">
    <fb>91.21</fb>
    <v>13</v>
  </rv>
  <rv s="7">
    <fb>92.7</fb>
    <v>13</v>
  </rv>
  <rv s="7">
    <fb>9.0500000000000007</fb>
    <v>13</v>
  </rv>
  <rv s="7">
    <fb>120.29</fb>
    <v>13</v>
  </rv>
  <rv s="7">
    <fb>532.6</fb>
    <v>13</v>
  </rv>
  <rv s="7">
    <fb>343.91</fb>
    <v>13</v>
  </rv>
  <rv s="7">
    <fb>329.17</fb>
    <v>13</v>
  </rv>
  <rv s="7">
    <fb>80.59</fb>
    <v>13</v>
  </rv>
  <rv s="7">
    <fb>1005.16</fb>
    <v>13</v>
  </rv>
  <rv s="7">
    <fb>249.09</fb>
    <v>13</v>
  </rv>
  <rv s="7">
    <fb>151.37</fb>
    <v>13</v>
  </rv>
  <rv s="7">
    <fb>232.01</fb>
    <v>13</v>
  </rv>
  <rv s="7">
    <fb>106.91</fb>
    <v>13</v>
  </rv>
  <rv s="7">
    <fb>146.9</fb>
    <v>13</v>
  </rv>
  <rv s="7">
    <fb>46322</fb>
    <v>12</v>
  </rv>
  <rv s="7">
    <fb>59.57</fb>
    <v>13</v>
  </rv>
  <rv s="7">
    <fb>86.01</fb>
    <v>13</v>
  </rv>
  <rv s="7">
    <fb>91.18</fb>
    <v>13</v>
  </rv>
  <rv s="7">
    <fb>9.17</fb>
    <v>13</v>
  </rv>
  <rv s="7">
    <fb>119.32</fb>
    <v>13</v>
  </rv>
  <rv s="7">
    <fb>531.33000000000004</fb>
    <v>13</v>
  </rv>
  <rv s="7">
    <fb>347.1</fb>
    <v>13</v>
  </rv>
  <rv s="7">
    <fb>342.33</fb>
    <v>13</v>
  </rv>
  <rv s="7">
    <fb>992.13</fb>
    <v>13</v>
  </rv>
  <rv s="7">
    <fb>253.1</fb>
    <v>13</v>
  </rv>
  <rv s="7">
    <fb>228.23</fb>
    <v>13</v>
  </rv>
  <rv s="7">
    <fb>104.78</fb>
    <v>13</v>
  </rv>
  <rv s="7">
    <fb>148.58000000000001</fb>
    <v>13</v>
  </rv>
  <rv s="8">
    <v>14</v>
    <v>CVX</v>
    <v>Daily</v>
    <v>45958</v>
    <v>46323</v>
    <v>0</v>
    <v>1</v>
    <v>639286560000000000,639287991516451462,0</v>
    <v>0</v>
    <v>a1qlz2</v>
    <v>XNYS:CVX</v>
    <v>1</v>
  </rv>
  <rv s="8">
    <v>14</v>
    <v>COP</v>
    <v>Daily</v>
    <v>45958</v>
    <v>46323</v>
    <v>0</v>
    <v>1</v>
    <v>639286560000000000,639287991516690671,0</v>
    <v>0</v>
    <v>a1q5nm</v>
    <v>XNYS:COP</v>
    <v>2</v>
  </rv>
  <rv s="8">
    <v>14</v>
    <v>COST</v>
    <v>Daily</v>
    <v>45958</v>
    <v>46323</v>
    <v>0</v>
    <v>1</v>
    <v>639286560000000000,639287991517210156,0</v>
    <v>0</v>
    <v>a1q6k2</v>
    <v>XNAS:COST</v>
    <v>3</v>
  </rv>
  <rv s="8">
    <v>14</v>
    <v>IBKR</v>
    <v>Daily</v>
    <v>45958</v>
    <v>46323</v>
    <v>0</v>
    <v>1</v>
    <v>639286560000000000,639287991516507677,0</v>
    <v>0</v>
    <v>a1v6hw</v>
    <v>XNAS:IBKR</v>
    <v>4</v>
  </rv>
  <rv s="8">
    <v>14</v>
    <v>CRWV</v>
    <v>Daily</v>
    <v>45958</v>
    <v>46323</v>
    <v>0</v>
    <v>1</v>
    <v>639286560000000000,639287991516336916,0</v>
    <v>0</v>
    <v>cgblqh</v>
    <v>XNAS:CRWV</v>
    <v>5</v>
  </rv>
  <rv s="8">
    <v>14</v>
    <v>VRT</v>
    <v>Daily</v>
    <v>45958</v>
    <v>46323</v>
    <v>0</v>
    <v>1</v>
    <v>639286560000000000,639287991517177693,0</v>
    <v>0</v>
    <v>b19hc7</v>
    <v>XNYS:VRT</v>
    <v>6</v>
  </rv>
  <rv s="8">
    <v>14</v>
    <v>WMT</v>
    <v>Daily</v>
    <v>45958</v>
    <v>46323</v>
    <v>0</v>
    <v>1</v>
    <v>639286560000000000,639287991517042626,0</v>
    <v>0</v>
    <v>a25ya2</v>
    <v>XNAS:WMT</v>
    <v>7</v>
  </rv>
  <rv s="8">
    <v>14</v>
    <v>AMZN</v>
    <v>Daily</v>
    <v>45958</v>
    <v>46323</v>
    <v>0</v>
    <v>1</v>
    <v>639286560000000000,639287991517730854,0</v>
    <v>0</v>
    <v>a1nhlh</v>
    <v>XNAS:AMZN</v>
    <v>8</v>
  </rv>
  <rv s="8">
    <v>14</v>
    <v>SHEL</v>
    <v>Daily</v>
    <v>45958</v>
    <v>46323</v>
    <v>0</v>
    <v>1</v>
    <v>639286560000000000,639287991516991740,0</v>
    <v>0</v>
    <v>a21t52</v>
    <v>XNYS:SHEL</v>
    <v>9</v>
  </rv>
  <rv s="8">
    <v>14</v>
    <v>HSBC</v>
    <v>Daily</v>
    <v>45958</v>
    <v>46323</v>
    <v>0</v>
    <v>1</v>
    <v>639286560000000000,639287991516272839,0</v>
    <v>0</v>
    <v>a1uvm7</v>
    <v>XNYS:HSBC</v>
    <v>10</v>
  </rv>
  <rv s="8">
    <v>14</v>
    <v>NVDA</v>
    <v>Daily</v>
    <v>45958</v>
    <v>46323</v>
    <v>0</v>
    <v>1</v>
    <v>639286560000000000,639287991516810738,0</v>
    <v>11</v>
    <v>ce6z5r</v>
    <v>XBUE:NVDAC</v>
    <v>12</v>
  </rv>
  <rv s="8">
    <v>14</v>
    <v>QQQ</v>
    <v>Daily</v>
    <v>45958</v>
    <v>46323</v>
    <v>0</v>
    <v>1</v>
    <v>639286560000000000,639287991525960831,0</v>
    <v>0</v>
    <v>a21mim</v>
    <v>XNAS:QQQ</v>
    <v>13</v>
  </rv>
  <rv s="8">
    <v>14</v>
    <v>GOOG</v>
    <v>Daily</v>
    <v>45958</v>
    <v>46323</v>
    <v>0</v>
    <v>1</v>
    <v>639286560000000000,639287991517516577,0</v>
    <v>0</v>
    <v>a1u3p2</v>
    <v>XNAS:GOOG</v>
    <v>14</v>
  </rv>
  <rv s="8">
    <v>14</v>
    <v>SPY</v>
    <v>Daily</v>
    <v>45958</v>
    <v>46323</v>
    <v>0</v>
    <v>1</v>
    <v>639286560000000000,639287991516120825,0</v>
    <v>0</v>
    <v>a23hqh</v>
    <v>ARCX:SPY</v>
    <v>15</v>
  </rv>
  <rv s="8">
    <v>14</v>
    <v>AAPL</v>
    <v>Daily</v>
    <v>45958</v>
    <v>46323</v>
    <v>0</v>
    <v>1</v>
    <v>639286560000000000,639287991517341483,0</v>
    <v>0</v>
    <v>a1mou2</v>
    <v>XNAS:AAPL</v>
    <v>16</v>
  </rv>
  <rv s="8">
    <v>14</v>
    <v>AVGO</v>
    <v>Daily</v>
    <v>45958</v>
    <v>46323</v>
    <v>0</v>
    <v>1</v>
    <v>639286560000000000,639287991517561071,0</v>
    <v>0</v>
    <v>a1nz8m</v>
    <v>XNAS:AVGO</v>
    <v>17</v>
  </rv>
  <rv s="8">
    <v>14</v>
    <v>KO</v>
    <v>Daily</v>
    <v>45958</v>
    <v>46323</v>
    <v>0</v>
    <v>1</v>
    <v>639286560000000000,639287991516872643,0</v>
    <v>0</v>
    <v>a1wljc</v>
    <v>XNYS:KO</v>
    <v>18</v>
  </rv>
  <rv s="8">
    <v>14</v>
    <v>MSFT</v>
    <v>Daily</v>
    <v>45958</v>
    <v>46323</v>
    <v>0</v>
    <v>1</v>
    <v>639286560000000000,639287991516621045,0</v>
    <v>0</v>
    <v>a1xzim</v>
    <v>XNAS:MSFT</v>
    <v>19</v>
  </rv>
  <rv s="8">
    <v>14</v>
    <v>SPCX</v>
    <v>Daily</v>
    <v>45958</v>
    <v>46323</v>
    <v>0</v>
    <v>1</v>
    <v>639286560000000000,639287991517391752,0</v>
    <v>20</v>
    <v>d8uapr</v>
    <v>XNAS:SPCX</v>
    <v>21</v>
  </rv>
</rvData>
</file>

<file path=xl/richData/rdrichvaluestructure.xml><?xml version="1.0" encoding="utf-8"?>
<rvStructures xmlns="http://schemas.microsoft.com/office/spreadsheetml/2017/richdata" count="9">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v>
      <v>Name</v>
    </spb>
    <spb s="6">
      <v>1</v>
      <v>1</v>
      <v>1</v>
    </spb>
    <spb s="0">
      <v>2</v>
      <v>Name</v>
      <v>LearnMoreOnLink</v>
    </spb>
    <spb s="7">
      <v>0</v>
      <v>0</v>
    </spb>
    <spb s="8">
      <v>8</v>
      <v>1</v>
      <v>1</v>
      <v>1</v>
      <v>1</v>
    </spb>
    <spb s="9">
      <v>1</v>
      <v>2</v>
      <v>2</v>
      <v>1</v>
      <v>3</v>
      <v>1</v>
      <v>10</v>
      <v>1</v>
      <v>1</v>
      <v>4</v>
      <v>4</v>
      <v>5</v>
      <v>6</v>
      <v>1</v>
      <v>1</v>
      <v>1</v>
      <v>4</v>
      <v>7</v>
      <v>8</v>
      <v>9</v>
      <v>4</v>
    </spb>
    <spb s="10">
      <v>Powered by Refinitiv</v>
    </spb>
    <spb s="11">
      <v>11</v>
    </spb>
    <spb s="11">
      <v>1</v>
    </spb>
    <spb s="12">
      <v>11</v>
      <v>1</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ExchangeID" t="spb"/>
    <k n="UniqueName" t="spb"/>
    <k n="`%ProviderInfo" t="spb"/>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x:dxf>
      <x:numFmt numFmtId="19" formatCode="dd/mm/yyyy"/>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0AAF64-AA07-B248-BD4E-F8A21D7959B3}" name="Holdings" displayName="Holdings" ref="A1:I18" totalsRowShown="0" headerRowDxfId="11" dataDxfId="10" headerRowCellStyle="Normal 2">
  <autoFilter ref="A1:I18" xr:uid="{7E0AAF64-AA07-B248-BD4E-F8A21D7959B3}"/>
  <tableColumns count="9">
    <tableColumn id="1" xr3:uid="{EC10F911-530B-9E4A-807C-D65F0578CED3}" name="Company Name" dataDxfId="9"/>
    <tableColumn id="2" xr3:uid="{2AB8D921-F6A2-724D-A8BC-7F3377950D87}" name="Ticker" dataDxfId="8">
      <calculatedColumnFormula array="1">_FV(A2,"Ticker symbol",TRUE)</calculatedColumnFormula>
    </tableColumn>
    <tableColumn id="3" xr3:uid="{F0556748-AF17-0044-AFE9-08B9944D8FC2}" name="Industry" dataDxfId="7">
      <calculatedColumnFormula array="1">_FV(A2,"Industry")</calculatedColumnFormula>
    </tableColumn>
    <tableColumn id="4" xr3:uid="{C9B0E168-DC60-2048-A5AD-A34520855391}" name="Current Price" dataDxfId="6">
      <calculatedColumnFormula array="1">_FV(A2,"price")</calculatedColumnFormula>
    </tableColumn>
    <tableColumn id="5" xr3:uid="{9AAFAAD6-62D9-594F-9E0F-7E3E47CC417F}" name="Position Size" dataDxfId="5"/>
    <tableColumn id="6" xr3:uid="{E63034D0-9AC4-A743-95A0-0BC765238A3A}" name="Approx. Total Amount Held" dataDxfId="4">
      <calculatedColumnFormula>E2*D2</calculatedColumnFormula>
    </tableColumn>
    <tableColumn id="7" xr3:uid="{7A5D39A8-8280-9245-ACF3-C871420F0F1B}" name="Weight" dataDxfId="3">
      <calculatedColumnFormula>F2/SUM(F:F)</calculatedColumnFormula>
    </tableColumn>
    <tableColumn id="8" xr3:uid="{DD2CE4A7-82BA-8F41-9242-62165C358415}" name="Beta" dataDxfId="2">
      <calculatedColumnFormula array="1">_FV(A2,"Beta")</calculatedColumnFormula>
    </tableColumn>
    <tableColumn id="9" xr3:uid="{2ACC920A-2900-2047-9905-2FE0E6811672}" name="Size" dataDxfId="1">
      <calculatedColumnFormula array="1">LN(_FV(Holdings[[#This Row],[Company Name]],"Market cap",TRUE))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Webflix">
      <a:dk1>
        <a:srgbClr val="000000"/>
      </a:dk1>
      <a:lt1>
        <a:srgbClr val="FFFFFF"/>
      </a:lt1>
      <a:dk2>
        <a:srgbClr val="1B4273"/>
      </a:dk2>
      <a:lt2>
        <a:srgbClr val="EEECE1"/>
      </a:lt2>
      <a:accent1>
        <a:srgbClr val="001F5F"/>
      </a:accent1>
      <a:accent2>
        <a:srgbClr val="01B0F0"/>
      </a:accent2>
      <a:accent3>
        <a:srgbClr val="797979"/>
      </a:accent3>
      <a:accent4>
        <a:srgbClr val="A6A6A6"/>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EB83-2110-7349-AF30-D6CA82A0751B}">
  <dimension ref="B8:J27"/>
  <sheetViews>
    <sheetView showGridLines="0" zoomScaleNormal="100" workbookViewId="0">
      <selection activeCell="B26" sqref="B26:J26"/>
    </sheetView>
  </sheetViews>
  <sheetFormatPr baseColWidth="10" defaultRowHeight="16" x14ac:dyDescent="0.2"/>
  <sheetData>
    <row r="8" spans="2:2" ht="32" x14ac:dyDescent="0.4">
      <c r="B8" s="16" t="s">
        <v>23</v>
      </c>
    </row>
    <row r="10" spans="2:2" ht="19" x14ac:dyDescent="0.25">
      <c r="B10" s="17" t="s">
        <v>24</v>
      </c>
    </row>
    <row r="25" spans="2:10" ht="19" x14ac:dyDescent="0.25">
      <c r="B25" s="15" t="s">
        <v>25</v>
      </c>
    </row>
    <row r="26" spans="2:10" ht="61" customHeight="1" x14ac:dyDescent="0.2">
      <c r="B26" s="72" t="s">
        <v>26</v>
      </c>
      <c r="C26" s="72"/>
      <c r="D26" s="72"/>
      <c r="E26" s="72"/>
      <c r="F26" s="72"/>
      <c r="G26" s="72"/>
      <c r="H26" s="72"/>
      <c r="I26" s="72"/>
      <c r="J26" s="72"/>
    </row>
    <row r="27" spans="2:10" ht="55" customHeight="1" x14ac:dyDescent="0.2">
      <c r="B27" s="72" t="s">
        <v>27</v>
      </c>
      <c r="C27" s="72"/>
      <c r="D27" s="72"/>
      <c r="E27" s="72"/>
      <c r="F27" s="72"/>
      <c r="G27" s="72"/>
      <c r="H27" s="72"/>
      <c r="I27" s="72"/>
      <c r="J27" s="72"/>
    </row>
  </sheetData>
  <mergeCells count="2">
    <mergeCell ref="B26:J26"/>
    <mergeCell ref="B27:J27"/>
  </mergeCells>
  <pageMargins left="0.25" right="0.25" top="0.25" bottom="0.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5ED4-4030-4449-A1B4-9246B6907F37}">
  <dimension ref="B1:U33"/>
  <sheetViews>
    <sheetView showGridLines="0" topLeftCell="A39" zoomScaleNormal="100" zoomScaleSheetLayoutView="125" workbookViewId="0">
      <selection activeCell="T55" sqref="T55"/>
    </sheetView>
  </sheetViews>
  <sheetFormatPr baseColWidth="10" defaultRowHeight="14" customHeight="1" x14ac:dyDescent="0.2"/>
  <cols>
    <col min="1" max="1" width="3" style="39" customWidth="1"/>
    <col min="2" max="2" width="1" style="39" customWidth="1"/>
    <col min="3" max="3" width="2.83203125" style="39" customWidth="1"/>
    <col min="4" max="4" width="9.1640625" style="38" customWidth="1"/>
    <col min="5" max="5" width="2.1640625" style="39" customWidth="1"/>
    <col min="6" max="6" width="10.33203125" style="39" customWidth="1"/>
    <col min="7" max="7" width="11.33203125" style="39" customWidth="1"/>
    <col min="8" max="8" width="6.33203125" style="39" customWidth="1"/>
    <col min="9" max="9" width="7.83203125" style="39" customWidth="1"/>
    <col min="10" max="10" width="2.5" style="39" customWidth="1"/>
    <col min="11" max="11" width="9.33203125" style="39" customWidth="1"/>
    <col min="12" max="12" width="1" style="39" customWidth="1"/>
    <col min="13" max="13" width="2.83203125" style="39" customWidth="1"/>
    <col min="14" max="14" width="1" style="39" customWidth="1"/>
    <col min="15" max="18" width="10.83203125" style="39"/>
    <col min="19" max="19" width="1" style="39" customWidth="1"/>
    <col min="20" max="16384" width="10.83203125" style="39"/>
  </cols>
  <sheetData>
    <row r="1" spans="2:19" ht="14" customHeight="1" x14ac:dyDescent="0.2">
      <c r="C1" s="38"/>
      <c r="D1" s="39"/>
    </row>
    <row r="2" spans="2:19" ht="14" customHeight="1" x14ac:dyDescent="0.2">
      <c r="B2" s="63"/>
      <c r="C2" s="64" t="s">
        <v>14</v>
      </c>
      <c r="D2" s="56"/>
      <c r="E2" s="56"/>
      <c r="F2" s="56"/>
      <c r="G2" s="56"/>
      <c r="H2" s="56"/>
      <c r="I2" s="56"/>
      <c r="J2" s="56"/>
      <c r="K2" s="56"/>
      <c r="L2" s="57"/>
      <c r="M2" s="42"/>
      <c r="N2" s="63"/>
      <c r="O2" s="61" t="s">
        <v>34</v>
      </c>
      <c r="P2" s="61"/>
      <c r="Q2" s="61"/>
      <c r="R2" s="61"/>
      <c r="S2" s="46"/>
    </row>
    <row r="3" spans="2:19" ht="14" customHeight="1" x14ac:dyDescent="0.2">
      <c r="B3" s="47"/>
      <c r="C3" s="38"/>
      <c r="D3" s="39"/>
      <c r="L3" s="48"/>
      <c r="N3" s="47"/>
      <c r="R3" s="69"/>
      <c r="S3" s="48"/>
    </row>
    <row r="4" spans="2:19" ht="14" customHeight="1" x14ac:dyDescent="0.2">
      <c r="B4" s="47"/>
      <c r="C4" s="39" t="s">
        <v>0</v>
      </c>
      <c r="D4" s="39"/>
      <c r="F4" s="59">
        <f ca="1">SUM(Holdings[Approx. Total Amount Held])</f>
        <v>128487.06999999999</v>
      </c>
      <c r="H4" s="39" t="s">
        <v>20</v>
      </c>
      <c r="K4" s="51">
        <f ca="1">AVERAGE(_xlfn.ANCHORARRAY(Returns!B2)) * 252</f>
        <v>0.2080847564215732</v>
      </c>
      <c r="L4" s="48"/>
      <c r="N4" s="47"/>
      <c r="O4" s="39" t="str" cm="1">
        <f t="array" aca="1" ref="O4:O14" ca="1">_xlfn.UNIQUE(Holdings[Industry])</f>
        <v>Software &amp; IT Services</v>
      </c>
      <c r="R4" s="51" cm="1">
        <f t="array" aca="1" ref="R4:R14" ca="1">SUMIF(Holdings[Industry],_xlfn.ANCHORARRAY( O4), Holdings[Weight])</f>
        <v>0.21689575456892279</v>
      </c>
      <c r="S4" s="48"/>
    </row>
    <row r="5" spans="2:19" ht="14" customHeight="1" x14ac:dyDescent="0.2">
      <c r="B5" s="47"/>
      <c r="C5" s="39" t="s">
        <v>9</v>
      </c>
      <c r="D5" s="39"/>
      <c r="F5" s="39">
        <f ca="1">COUNTA(Holdings[Ticker])</f>
        <v>17</v>
      </c>
      <c r="H5" s="39" t="s">
        <v>37</v>
      </c>
      <c r="K5" s="51">
        <f ca="1">_xlfn.STDEV.S(_xlfn.ANCHORARRAY(Returns!B2))*SQRT(252)</f>
        <v>0.14446555804300065</v>
      </c>
      <c r="L5" s="48"/>
      <c r="N5" s="47"/>
      <c r="O5" s="39" t="str">
        <f ca="1"/>
        <v>Machinery, Equipment &amp; Components</v>
      </c>
      <c r="R5" s="51">
        <f ca="1"/>
        <v>5.4924203657224037E-2</v>
      </c>
      <c r="S5" s="48"/>
    </row>
    <row r="6" spans="2:19" ht="14" customHeight="1" x14ac:dyDescent="0.2">
      <c r="B6" s="47"/>
      <c r="C6" s="39" t="s">
        <v>1</v>
      </c>
      <c r="D6" s="39"/>
      <c r="F6" s="50">
        <f ca="1">SUMPRODUCT(Holdings[Weight],Holdings[Beta])</f>
        <v>1.1345338210529667</v>
      </c>
      <c r="H6" s="39" t="s">
        <v>16</v>
      </c>
      <c r="K6" s="51" cm="1">
        <f t="array" aca="1" ref="K6" ca="1">_xlfn.LET(_xlpm.rp,_xlfn.ANCHORARRAY(Returns!B2),_xlpm.rm,_xlfn.ANCHORARRAY(Returns!F2),_xlpm.rf_daily, F16/ 252,_xlpm.y, _xlpm.rp - _xlpm.rf_daily,_xlpm.x, _xlpm.rm - _xlpm.rf_daily,_xlpm.alpha_daily, INTERCEPT(_xlpm.y, _xlpm.x),_xlpm.alpha_daily * 252)</f>
        <v>8.8441314414993519E-2</v>
      </c>
      <c r="L6" s="48"/>
      <c r="N6" s="47"/>
      <c r="O6" s="39" t="str">
        <f ca="1"/>
        <v>Banking Services</v>
      </c>
      <c r="R6" s="51">
        <f ca="1"/>
        <v>0.10034083585219898</v>
      </c>
      <c r="S6" s="48"/>
    </row>
    <row r="7" spans="2:19" ht="14" customHeight="1" x14ac:dyDescent="0.2">
      <c r="B7" s="52"/>
      <c r="C7" s="60"/>
      <c r="D7" s="53"/>
      <c r="E7" s="53"/>
      <c r="F7" s="53"/>
      <c r="G7" s="53"/>
      <c r="H7" s="53"/>
      <c r="I7" s="53"/>
      <c r="J7" s="53"/>
      <c r="K7" s="53"/>
      <c r="L7" s="58"/>
      <c r="N7" s="47"/>
      <c r="O7" s="39" t="str">
        <f ca="1"/>
        <v>Beverages</v>
      </c>
      <c r="R7" s="51">
        <f ca="1"/>
        <v>5.0189875136852295E-2</v>
      </c>
      <c r="S7" s="48"/>
    </row>
    <row r="8" spans="2:19" ht="14" customHeight="1" x14ac:dyDescent="0.2">
      <c r="C8" s="38"/>
      <c r="D8" s="39"/>
      <c r="N8" s="47"/>
      <c r="O8" s="39" t="str">
        <f ca="1"/>
        <v>Semiconductors &amp; Semiconductor Equipment</v>
      </c>
      <c r="R8" s="51">
        <f ca="1"/>
        <v>0.12152973836200018</v>
      </c>
      <c r="S8" s="48"/>
    </row>
    <row r="9" spans="2:19" ht="14" customHeight="1" x14ac:dyDescent="0.2">
      <c r="B9" s="63"/>
      <c r="C9" s="61" t="s">
        <v>31</v>
      </c>
      <c r="D9" s="44"/>
      <c r="E9" s="45"/>
      <c r="F9" s="45"/>
      <c r="G9" s="45"/>
      <c r="H9" s="45"/>
      <c r="I9" s="45"/>
      <c r="J9" s="45"/>
      <c r="K9" s="45"/>
      <c r="L9" s="46"/>
      <c r="N9" s="47"/>
      <c r="O9" s="39" t="str">
        <f ca="1"/>
        <v>Food &amp; Drug Retailing</v>
      </c>
      <c r="R9" s="51">
        <f ca="1"/>
        <v>3.6928229431957629E-2</v>
      </c>
      <c r="S9" s="48"/>
    </row>
    <row r="10" spans="2:19" ht="14" customHeight="1" x14ac:dyDescent="0.2">
      <c r="B10" s="47"/>
      <c r="D10" s="39"/>
      <c r="L10" s="48"/>
      <c r="N10" s="47"/>
      <c r="O10" s="39" t="str">
        <f ca="1"/>
        <v>Computers, Phones &amp; Household Electronics</v>
      </c>
      <c r="R10" s="51">
        <f ca="1"/>
        <v>0.13424307986788087</v>
      </c>
      <c r="S10" s="48"/>
    </row>
    <row r="11" spans="2:19" ht="14" customHeight="1" x14ac:dyDescent="0.2">
      <c r="B11" s="47"/>
      <c r="C11" s="38" t="s">
        <v>13</v>
      </c>
      <c r="H11" s="38" t="s">
        <v>15</v>
      </c>
      <c r="L11" s="49"/>
      <c r="N11" s="47"/>
      <c r="O11" s="39" t="str">
        <f ca="1"/>
        <v>Investment Banking &amp; Investment Services</v>
      </c>
      <c r="R11" s="51">
        <f ca="1"/>
        <v>3.2127746395026364E-2</v>
      </c>
      <c r="S11" s="48"/>
    </row>
    <row r="12" spans="2:19" ht="14" customHeight="1" x14ac:dyDescent="0.2">
      <c r="B12" s="47"/>
      <c r="C12" s="39" t="s">
        <v>10</v>
      </c>
      <c r="D12" s="39"/>
      <c r="F12" s="50">
        <f ca="1">(K4-F16)/K5</f>
        <v>1.1538027380336491</v>
      </c>
      <c r="H12" s="39" t="s">
        <v>11</v>
      </c>
      <c r="K12" s="51">
        <f ca="1">MIN(Returns!E:E)</f>
        <v>-8.6860578453394816E-2</v>
      </c>
      <c r="L12" s="49"/>
      <c r="N12" s="47"/>
      <c r="O12" s="39" t="str">
        <f ca="1"/>
        <v>Diversified Retail</v>
      </c>
      <c r="R12" s="51">
        <f ca="1"/>
        <v>0.10479669277227663</v>
      </c>
      <c r="S12" s="48"/>
    </row>
    <row r="13" spans="2:19" ht="14" customHeight="1" x14ac:dyDescent="0.2">
      <c r="B13" s="47"/>
      <c r="C13" s="39" t="s">
        <v>17</v>
      </c>
      <c r="D13" s="39"/>
      <c r="F13" s="50" cm="1">
        <f t="array" aca="1" ref="F13" ca="1">(AVERAGE(Returns!B2:B250)*252 - F16) /(SQRT(SUMSQ(IF(Returns!B2:B250 &lt; F16/252, Returns!B2:B250-F16/252, 0)) / (COUNT(Returns!B2:B250) - 1)) * SQRT(249))</f>
        <v>1.7515906912288601</v>
      </c>
      <c r="H13" s="39" t="s">
        <v>12</v>
      </c>
      <c r="K13" s="71" cm="1">
        <f t="array" aca="1" ref="K13" ca="1">IFERROR(INDEX(Returns!A:A,_xlfn.XMATCH(MIN(Returns!E:E),Returns!E:E)+_xlfn.XMATCH(0,INDEX(Returns!E:E,_xlfn.XMATCH(MIN(Returns!E:E),Returns!E:E)):INDEX(Returns!E:E,300),1)-1)-INDEX(Returns!A:A,_xlfn.XMATCH(MIN(Returns!E:E),Returns!E:E)),"Recovering")</f>
        <v>39</v>
      </c>
      <c r="L13" s="49"/>
      <c r="N13" s="47"/>
      <c r="O13" s="39" t="str">
        <f ca="1"/>
        <v>Oil &amp; Gas</v>
      </c>
      <c r="R13" s="51">
        <f ca="1"/>
        <v>0.12548149786589421</v>
      </c>
      <c r="S13" s="48"/>
    </row>
    <row r="14" spans="2:19" ht="14" customHeight="1" x14ac:dyDescent="0.2">
      <c r="B14" s="52"/>
      <c r="C14" s="53"/>
      <c r="D14" s="53"/>
      <c r="E14" s="53"/>
      <c r="F14" s="53"/>
      <c r="G14" s="53"/>
      <c r="H14" s="53"/>
      <c r="I14" s="53"/>
      <c r="J14" s="53"/>
      <c r="K14" s="54"/>
      <c r="L14" s="55"/>
      <c r="N14" s="47"/>
      <c r="O14" s="39" t="str">
        <f ca="1"/>
        <v>Telecommunications Services</v>
      </c>
      <c r="R14" s="51">
        <f ca="1"/>
        <v>2.2542346089766074E-2</v>
      </c>
      <c r="S14" s="48"/>
    </row>
    <row r="15" spans="2:19" ht="14" customHeight="1" thickBot="1" x14ac:dyDescent="0.25">
      <c r="D15" s="39"/>
      <c r="N15" s="47"/>
      <c r="O15" s="65"/>
      <c r="P15" s="65"/>
      <c r="Q15" s="65"/>
      <c r="R15" s="65"/>
      <c r="S15" s="48"/>
    </row>
    <row r="16" spans="2:19" ht="14" customHeight="1" thickTop="1" x14ac:dyDescent="0.2">
      <c r="B16" s="36" t="s">
        <v>21</v>
      </c>
      <c r="C16" s="37"/>
      <c r="D16" s="37"/>
      <c r="F16" s="43">
        <v>4.1399999999999999E-2</v>
      </c>
      <c r="N16" s="47"/>
      <c r="O16" s="39" t="s">
        <v>32</v>
      </c>
      <c r="R16" s="51">
        <f ca="1">MAX(_xlfn.ANCHORARRAY(R4))</f>
        <v>0.21689575456892279</v>
      </c>
      <c r="S16" s="48"/>
    </row>
    <row r="17" spans="2:21" ht="14" customHeight="1" x14ac:dyDescent="0.2">
      <c r="D17" s="41"/>
      <c r="E17" s="41"/>
      <c r="F17" s="41"/>
      <c r="G17" s="41"/>
      <c r="H17" s="41"/>
      <c r="I17" s="41"/>
      <c r="J17" s="41"/>
      <c r="N17" s="47"/>
      <c r="O17" s="39" t="s">
        <v>33</v>
      </c>
      <c r="R17" s="51">
        <f ca="1">SUM(_xlfn.CHOOSEROWS(_xlfn._xlws.SORT(_xlfn.ANCHORARRAY(R4), 1, -1), 1, 2, 3))</f>
        <v>0.47662033230269785</v>
      </c>
      <c r="S17" s="48"/>
    </row>
    <row r="18" spans="2:21" ht="14" customHeight="1" x14ac:dyDescent="0.2">
      <c r="B18" s="40" t="s">
        <v>22</v>
      </c>
      <c r="D18" s="39"/>
      <c r="N18" s="47"/>
      <c r="O18" s="39" t="s">
        <v>35</v>
      </c>
      <c r="R18" s="62">
        <f ca="1">SUMSQ(Holdings[Weight])</f>
        <v>7.643337516409926E-2</v>
      </c>
      <c r="S18" s="48"/>
    </row>
    <row r="19" spans="2:21" ht="14" customHeight="1" x14ac:dyDescent="0.2">
      <c r="B19" s="40" t="s">
        <v>28</v>
      </c>
      <c r="C19" s="41"/>
      <c r="D19" s="39"/>
      <c r="N19" s="52"/>
      <c r="O19" s="53"/>
      <c r="P19" s="53"/>
      <c r="Q19" s="53"/>
      <c r="R19" s="53"/>
      <c r="S19" s="58"/>
    </row>
    <row r="20" spans="2:21" ht="14" customHeight="1" x14ac:dyDescent="0.2">
      <c r="D20" s="39"/>
    </row>
    <row r="21" spans="2:21" ht="14" customHeight="1" x14ac:dyDescent="0.2">
      <c r="D21" s="39"/>
    </row>
    <row r="22" spans="2:21" ht="14" customHeight="1" x14ac:dyDescent="0.2">
      <c r="D22" s="39"/>
    </row>
    <row r="23" spans="2:21" ht="14" customHeight="1" x14ac:dyDescent="0.2">
      <c r="D23" s="39"/>
    </row>
    <row r="24" spans="2:21" ht="14" customHeight="1" x14ac:dyDescent="0.2">
      <c r="D24" s="39"/>
    </row>
    <row r="25" spans="2:21" ht="14" customHeight="1" x14ac:dyDescent="0.2">
      <c r="U25" s="18"/>
    </row>
    <row r="31" spans="2:21" ht="14" customHeight="1" x14ac:dyDescent="0.2">
      <c r="D31" s="39"/>
    </row>
    <row r="32" spans="2:21" ht="14" customHeight="1" x14ac:dyDescent="0.2">
      <c r="D32" s="39"/>
      <c r="M32" s="41"/>
      <c r="N32" s="41"/>
    </row>
    <row r="33" spans="4:4" ht="14" customHeight="1" x14ac:dyDescent="0.2">
      <c r="D33" s="39"/>
    </row>
  </sheetData>
  <pageMargins left="0.25" right="0.25" top="0.25" bottom="0.5" header="0.3" footer="0.3"/>
  <pageSetup paperSize="9"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9164-4216-0842-BEDE-1242E039BD92}">
  <dimension ref="A1:O18"/>
  <sheetViews>
    <sheetView showGridLines="0" tabSelected="1" zoomScaleNormal="100" zoomScaleSheetLayoutView="80" workbookViewId="0">
      <pane ySplit="1" topLeftCell="A2" activePane="bottomLeft" state="frozen"/>
      <selection pane="bottomLeft" activeCell="F10" sqref="F10"/>
    </sheetView>
  </sheetViews>
  <sheetFormatPr baseColWidth="10" defaultRowHeight="40" customHeight="1" x14ac:dyDescent="0.2"/>
  <cols>
    <col min="1" max="1" width="52.6640625" style="4" customWidth="1"/>
    <col min="2" max="2" width="14.1640625" style="27" customWidth="1"/>
    <col min="3" max="3" width="44.5" style="4" customWidth="1"/>
    <col min="4" max="4" width="11.1640625" style="22" customWidth="1"/>
    <col min="5" max="5" width="14" style="28" customWidth="1"/>
    <col min="6" max="6" width="17.83203125" style="22" customWidth="1"/>
    <col min="7" max="7" width="10.1640625" style="26" customWidth="1"/>
    <col min="8" max="8" width="8.6640625" style="5" customWidth="1"/>
    <col min="9" max="9" width="10.6640625" style="8" customWidth="1"/>
    <col min="10" max="10" width="10.83203125" style="10"/>
    <col min="11" max="14" width="10.83203125" style="5"/>
    <col min="15" max="15" width="20.6640625" style="5" customWidth="1"/>
    <col min="16" max="16384" width="10.83203125" style="5"/>
  </cols>
  <sheetData>
    <row r="1" spans="1:15" s="2" customFormat="1" ht="40" customHeight="1" x14ac:dyDescent="0.2">
      <c r="A1" s="1" t="s">
        <v>8</v>
      </c>
      <c r="B1" s="21" t="s">
        <v>7</v>
      </c>
      <c r="C1" s="2" t="s">
        <v>6</v>
      </c>
      <c r="D1" s="21" t="s">
        <v>5</v>
      </c>
      <c r="E1" s="23" t="s">
        <v>4</v>
      </c>
      <c r="F1" s="24" t="s">
        <v>3</v>
      </c>
      <c r="G1" s="25" t="s">
        <v>2</v>
      </c>
      <c r="H1" s="2" t="s">
        <v>1</v>
      </c>
      <c r="I1" s="9" t="s">
        <v>18</v>
      </c>
    </row>
    <row r="2" spans="1:15" ht="40" customHeight="1" x14ac:dyDescent="0.2">
      <c r="A2" s="4" t="e" vm="1">
        <v>#VALUE!</v>
      </c>
      <c r="B2" s="27" t="str" cm="1">
        <f t="array" aca="1" ref="B2" ca="1">_FV(A2,"Ticker symbol",TRUE)</f>
        <v>GOOG</v>
      </c>
      <c r="C2" s="4" t="str" cm="1">
        <f t="array" aca="1" ref="C2" ca="1">_FV(A2,"Industry")</f>
        <v>Software &amp; IT Services</v>
      </c>
      <c r="D2" s="22" cm="1">
        <f t="array" aca="1" ref="D2" ca="1">_FV(A2,"price")</f>
        <v>320.58999999999997</v>
      </c>
      <c r="E2" s="28">
        <v>30</v>
      </c>
      <c r="F2" s="22">
        <f t="shared" ref="F2:F17" ca="1" si="0">E2*D2</f>
        <v>9617.6999999999989</v>
      </c>
      <c r="G2" s="26">
        <f t="shared" ref="G2:G18" ca="1" si="1">F2/SUM(F:F)</f>
        <v>7.4853446342888819E-2</v>
      </c>
      <c r="H2" s="7" cm="1">
        <f t="array" aca="1" ref="H2" ca="1">_FV(A2,"Beta")</f>
        <v>1.2030000000000001</v>
      </c>
      <c r="I2" s="8" cm="1">
        <f t="array" aca="1" ref="I2" ca="1">LN(_FV(Holdings[[#This Row],[Company Name]],"Market cap",TRUE))</f>
        <v>28.997320834818318</v>
      </c>
      <c r="K2" s="7"/>
    </row>
    <row r="3" spans="1:15" ht="40" customHeight="1" x14ac:dyDescent="0.2">
      <c r="A3" s="4" t="e" vm="2">
        <v>#VALUE!</v>
      </c>
      <c r="B3" s="27" t="str" cm="1">
        <f t="array" aca="1" ref="B3" ca="1">_FV(A3,"Ticker symbol",TRUE)</f>
        <v>CRWV</v>
      </c>
      <c r="C3" s="4" t="str" cm="1">
        <f t="array" aca="1" ref="C3" ca="1">_FV(A3,"Industry")</f>
        <v>Software &amp; IT Services</v>
      </c>
      <c r="D3" s="22" cm="1">
        <f t="array" aca="1" ref="D3" ca="1">_FV(A3,"price")</f>
        <v>60.594999999999999</v>
      </c>
      <c r="E3" s="28">
        <v>40</v>
      </c>
      <c r="F3" s="22">
        <f t="shared" ca="1" si="0"/>
        <v>2423.8000000000002</v>
      </c>
      <c r="G3" s="26">
        <f t="shared" ca="1" si="1"/>
        <v>1.8864154969056423E-2</v>
      </c>
      <c r="H3" s="7" cm="1">
        <f t="array" aca="1" ref="H3" ca="1">_FV(A3,"Beta")</f>
        <v>2.9889999999999999</v>
      </c>
      <c r="I3" s="8" cm="1">
        <f t="array" aca="1" ref="I3" ca="1">LN(_FV(Holdings[[#This Row],[Company Name]],"Market cap",TRUE))</f>
        <v>24.232431140336821</v>
      </c>
      <c r="K3" s="7"/>
    </row>
    <row r="4" spans="1:15" ht="40" customHeight="1" x14ac:dyDescent="0.2">
      <c r="A4" s="4" t="e" vm="3">
        <v>#VALUE!</v>
      </c>
      <c r="B4" s="27" t="str" cm="1">
        <f t="array" aca="1" ref="B4" ca="1">_FV(A4,"Ticker symbol",TRUE)</f>
        <v>VRT</v>
      </c>
      <c r="C4" s="4" t="str" cm="1">
        <f t="array" aca="1" ref="C4" ca="1">_FV(A4,"Industry")</f>
        <v>Machinery, Equipment &amp; Components</v>
      </c>
      <c r="D4" s="22" cm="1">
        <f t="array" aca="1" ref="D4" ca="1">_FV(A4,"price")</f>
        <v>235.23500000000001</v>
      </c>
      <c r="E4" s="28">
        <v>30</v>
      </c>
      <c r="F4" s="22">
        <f t="shared" ca="1" si="0"/>
        <v>7057.05</v>
      </c>
      <c r="G4" s="26">
        <f t="shared" ca="1" si="1"/>
        <v>5.4924203657224037E-2</v>
      </c>
      <c r="H4" s="7" cm="1">
        <f t="array" aca="1" ref="H4" ca="1">_FV(A4,"Beta")</f>
        <v>2.1038999999999999</v>
      </c>
      <c r="I4" s="8" cm="1">
        <f t="array" aca="1" ref="I4" ca="1">LN(_FV(Holdings[[#This Row],[Company Name]],"Market cap",TRUE))</f>
        <v>25.229308256908951</v>
      </c>
      <c r="K4" s="7"/>
    </row>
    <row r="5" spans="1:15" ht="40" customHeight="1" x14ac:dyDescent="0.2">
      <c r="A5" s="4" t="e" vm="4">
        <v>#VALUE!</v>
      </c>
      <c r="B5" s="27" t="str" cm="1">
        <f t="array" aca="1" ref="B5" ca="1">_FV(A5,"Ticker symbol",TRUE)</f>
        <v>HSBC</v>
      </c>
      <c r="C5" s="4" t="str" cm="1">
        <f t="array" aca="1" ref="C5" ca="1">_FV(A5,"Industry")</f>
        <v>Banking Services</v>
      </c>
      <c r="D5" s="22" cm="1">
        <f t="array" aca="1" ref="D5" ca="1">_FV(A5,"price")</f>
        <v>85.95</v>
      </c>
      <c r="E5" s="28">
        <v>150</v>
      </c>
      <c r="F5" s="22">
        <f t="shared" ca="1" si="0"/>
        <v>12892.5</v>
      </c>
      <c r="G5" s="26">
        <f t="shared" ca="1" si="1"/>
        <v>0.10034083585219898</v>
      </c>
      <c r="H5" s="7" cm="1">
        <f t="array" aca="1" ref="H5" ca="1">_FV(A5,"Beta")</f>
        <v>0.5363</v>
      </c>
      <c r="I5" s="8" cm="1">
        <f t="array" aca="1" ref="I5" ca="1">LN(_FV(Holdings[[#This Row],[Company Name]],"Market cap",TRUE))</f>
        <v>26.408718270668718</v>
      </c>
      <c r="K5" s="7"/>
      <c r="O5" s="6"/>
    </row>
    <row r="6" spans="1:15" ht="40" customHeight="1" x14ac:dyDescent="0.2">
      <c r="A6" s="4" t="e" vm="5">
        <v>#VALUE!</v>
      </c>
      <c r="B6" s="27" t="str" cm="1">
        <f t="array" aca="1" ref="B6" ca="1">_FV(A6,"Ticker symbol",TRUE)</f>
        <v>KO</v>
      </c>
      <c r="C6" s="4" t="str" cm="1">
        <f t="array" aca="1" ref="C6" ca="1">_FV(A6,"Industry")</f>
        <v>Beverages</v>
      </c>
      <c r="D6" s="22" cm="1">
        <f t="array" aca="1" ref="D6" ca="1">_FV(A6,"price")</f>
        <v>92.125</v>
      </c>
      <c r="E6" s="28">
        <v>70</v>
      </c>
      <c r="F6" s="22">
        <f t="shared" ca="1" si="0"/>
        <v>6448.75</v>
      </c>
      <c r="G6" s="26">
        <f t="shared" ca="1" si="1"/>
        <v>5.0189875136852295E-2</v>
      </c>
      <c r="H6" s="7" cm="1">
        <f t="array" aca="1" ref="H6" ca="1">_FV(A6,"Beta")</f>
        <v>0.2949</v>
      </c>
      <c r="I6" s="8" cm="1">
        <f t="array" aca="1" ref="I6" ca="1">LN(_FV(Holdings[[#This Row],[Company Name]],"Market cap",TRUE))</f>
        <v>26.705619825222101</v>
      </c>
      <c r="K6" s="7"/>
    </row>
    <row r="7" spans="1:15" ht="40" customHeight="1" x14ac:dyDescent="0.2">
      <c r="A7" s="4" t="e" vm="6">
        <v>#VALUE!</v>
      </c>
      <c r="B7" s="27" t="str" cm="1">
        <f t="array" aca="1" ref="B7" ca="1">_FV(A7,"Ticker symbol",TRUE)</f>
        <v>NVDA</v>
      </c>
      <c r="C7" s="4" t="str" cm="1">
        <f t="array" aca="1" ref="C7" ca="1">_FV(A7,"Industry")</f>
        <v>Semiconductors &amp; Semiconductor Equipment</v>
      </c>
      <c r="D7" s="22" cm="1">
        <f t="array" aca="1" ref="D7" ca="1">_FV(A7,"price")</f>
        <v>217.3</v>
      </c>
      <c r="E7" s="28">
        <v>40</v>
      </c>
      <c r="F7" s="22">
        <f t="shared" ca="1" si="0"/>
        <v>8692</v>
      </c>
      <c r="G7" s="26">
        <f t="shared" ca="1" si="1"/>
        <v>6.7648830345341374E-2</v>
      </c>
      <c r="H7" s="7" cm="1">
        <f t="array" aca="1" ref="H7" ca="1">_FV(A7,"Beta")</f>
        <v>2.1890999999999998</v>
      </c>
      <c r="I7" s="8" cm="1">
        <f t="array" aca="1" ref="I7" ca="1">LN(_FV(Holdings[[#This Row],[Company Name]],"Market cap",TRUE))</f>
        <v>29.286756564705403</v>
      </c>
      <c r="K7" s="7"/>
    </row>
    <row r="8" spans="1:15" ht="40" customHeight="1" x14ac:dyDescent="0.2">
      <c r="A8" s="4" t="e" vm="7">
        <v>#VALUE!</v>
      </c>
      <c r="B8" s="27" t="str" cm="1">
        <f t="array" aca="1" ref="B8" ca="1">_FV(A8,"Ticker symbol",TRUE)</f>
        <v>WMT</v>
      </c>
      <c r="C8" s="4" t="str" cm="1">
        <f t="array" aca="1" ref="C8" ca="1">_FV(A8,"Industry")</f>
        <v>Food &amp; Drug Retailing</v>
      </c>
      <c r="D8" s="22" cm="1">
        <f t="array" aca="1" ref="D8" ca="1">_FV(A8,"price")</f>
        <v>118.62</v>
      </c>
      <c r="E8" s="28">
        <v>40</v>
      </c>
      <c r="F8" s="22">
        <f t="shared" ca="1" si="0"/>
        <v>4744.8</v>
      </c>
      <c r="G8" s="26">
        <f t="shared" ca="1" si="1"/>
        <v>3.6928229431957629E-2</v>
      </c>
      <c r="H8" s="7" cm="1">
        <f t="array" aca="1" ref="H8" ca="1">_FV(A8,"Beta")</f>
        <v>0.56569999999999998</v>
      </c>
      <c r="I8" s="8" cm="1">
        <f t="array" aca="1" ref="I8" ca="1">LN(_FV(Holdings[[#This Row],[Company Name]],"Market cap",TRUE))</f>
        <v>27.570316250820206</v>
      </c>
      <c r="K8" s="7"/>
    </row>
    <row r="9" spans="1:15" ht="40" customHeight="1" x14ac:dyDescent="0.2">
      <c r="A9" s="4" t="e" vm="8">
        <v>#VALUE!</v>
      </c>
      <c r="B9" s="27" t="str" cm="1">
        <f t="array" aca="1" ref="B9" ca="1">_FV(A9,"Ticker symbol",TRUE)</f>
        <v>MSFT</v>
      </c>
      <c r="C9" s="4" t="str" cm="1">
        <f t="array" aca="1" ref="C9" ca="1">_FV(A9,"Industry")</f>
        <v>Software &amp; IT Services</v>
      </c>
      <c r="D9" s="22" cm="1">
        <f t="array" aca="1" ref="D9" ca="1">_FV(A9,"price")</f>
        <v>527.55999999999995</v>
      </c>
      <c r="E9" s="28">
        <v>30</v>
      </c>
      <c r="F9" s="22">
        <f t="shared" ca="1" si="0"/>
        <v>15826.8</v>
      </c>
      <c r="G9" s="26">
        <f t="shared" ca="1" si="1"/>
        <v>0.12317815325697754</v>
      </c>
      <c r="H9" s="7" cm="1">
        <f t="array" aca="1" ref="H9" ca="1">_FV(A9,"Beta")</f>
        <v>1.0486</v>
      </c>
      <c r="I9" s="8" cm="1">
        <f t="array" aca="1" ref="I9" ca="1">LN(_FV(Holdings[[#This Row],[Company Name]],"Market cap",TRUE))</f>
        <v>28.996573294678939</v>
      </c>
      <c r="K9" s="7"/>
    </row>
    <row r="10" spans="1:15" ht="40" customHeight="1" x14ac:dyDescent="0.2">
      <c r="A10" s="4" t="e" vm="9">
        <v>#VALUE!</v>
      </c>
      <c r="B10" s="27" t="str" cm="1">
        <f t="array" aca="1" ref="B10" ca="1">_FV(A10,"Ticker symbol",TRUE)</f>
        <v>AAPL</v>
      </c>
      <c r="C10" s="4" t="str" cm="1">
        <f t="array" aca="1" ref="C10" ca="1">_FV(A10,"Industry")</f>
        <v>Computers, Phones &amp; Household Electronics</v>
      </c>
      <c r="D10" s="22" cm="1">
        <f t="array" aca="1" ref="D10" ca="1">_FV(A10,"price")</f>
        <v>344.97</v>
      </c>
      <c r="E10" s="28">
        <v>50</v>
      </c>
      <c r="F10" s="22">
        <f t="shared" ca="1" si="0"/>
        <v>17248.5</v>
      </c>
      <c r="G10" s="26">
        <f t="shared" ca="1" si="1"/>
        <v>0.13424307986788087</v>
      </c>
      <c r="H10" s="7" cm="1">
        <f t="array" aca="1" ref="H10" ca="1">_FV(A10,"Beta")</f>
        <v>1.0794999999999999</v>
      </c>
      <c r="I10" s="8" cm="1">
        <f t="array" aca="1" ref="I10" ca="1">LN(_FV(Holdings[[#This Row],[Company Name]],"Market cap",TRUE))</f>
        <v>29.247346112778285</v>
      </c>
      <c r="K10" s="7"/>
    </row>
    <row r="11" spans="1:15" ht="40" customHeight="1" x14ac:dyDescent="0.2">
      <c r="A11" s="4" t="e" vm="10">
        <v>#VALUE!</v>
      </c>
      <c r="B11" s="27" t="str" cm="1">
        <f t="array" aca="1" ref="B11" ca="1">_FV(A11,"Ticker symbol",TRUE)</f>
        <v>AVGO</v>
      </c>
      <c r="C11" s="4" t="str" cm="1">
        <f t="array" aca="1" ref="C11" ca="1">_FV(A11,"Industry")</f>
        <v>Semiconductors &amp; Semiconductor Equipment</v>
      </c>
      <c r="D11" s="22" cm="1">
        <f t="array" aca="1" ref="D11" ca="1">_FV(A11,"price")</f>
        <v>346.15</v>
      </c>
      <c r="E11" s="28">
        <v>20</v>
      </c>
      <c r="F11" s="22">
        <f t="shared" ca="1" si="0"/>
        <v>6923</v>
      </c>
      <c r="G11" s="26">
        <f t="shared" ca="1" si="1"/>
        <v>5.3880908016658798E-2</v>
      </c>
      <c r="H11" s="7" cm="1">
        <f t="array" aca="1" ref="H11" ca="1">_FV(A11,"Beta")</f>
        <v>1.4911000000000001</v>
      </c>
      <c r="I11" s="8" cm="1">
        <f t="array" aca="1" ref="I11" ca="1">LN(_FV(Holdings[[#This Row],[Company Name]],"Market cap",TRUE))</f>
        <v>28.133245065841542</v>
      </c>
      <c r="K11" s="7"/>
    </row>
    <row r="12" spans="1:15" ht="40" customHeight="1" x14ac:dyDescent="0.2">
      <c r="A12" s="4" t="e" vm="11">
        <v>#VALUE!</v>
      </c>
      <c r="B12" s="27" t="str" cm="1">
        <f t="array" aca="1" ref="B12" ca="1">_FV(A12,"Ticker symbol",TRUE)</f>
        <v>IBKR</v>
      </c>
      <c r="C12" s="4" t="str" cm="1">
        <f t="array" aca="1" ref="C12" ca="1">_FV(A12,"Industry")</f>
        <v>Investment Banking &amp; Investment Services</v>
      </c>
      <c r="D12" s="22" cm="1">
        <f t="array" aca="1" ref="D12" ca="1">_FV(A12,"price")</f>
        <v>82.56</v>
      </c>
      <c r="E12" s="28">
        <v>50</v>
      </c>
      <c r="F12" s="22">
        <f t="shared" ca="1" si="0"/>
        <v>4128</v>
      </c>
      <c r="G12" s="26">
        <f t="shared" ca="1" si="1"/>
        <v>3.2127746395026364E-2</v>
      </c>
      <c r="H12" s="7" cm="1">
        <f t="array" aca="1" ref="H12" ca="1">_FV(A12,"Beta")</f>
        <v>1.3588</v>
      </c>
      <c r="I12" s="8" cm="1">
        <f t="array" aca="1" ref="I12" ca="1">LN(_FV(Holdings[[#This Row],[Company Name]],"Market cap",TRUE))</f>
        <v>25.669660993117731</v>
      </c>
      <c r="K12" s="7"/>
    </row>
    <row r="13" spans="1:15" ht="40" customHeight="1" x14ac:dyDescent="0.2">
      <c r="A13" s="4" t="e" vm="12">
        <v>#VALUE!</v>
      </c>
      <c r="B13" s="27" t="str" cm="1">
        <f t="array" aca="1" ref="B13" ca="1">_FV(A13,"Ticker symbol",TRUE)</f>
        <v>COST</v>
      </c>
      <c r="C13" s="4" t="str" cm="1">
        <f t="array" aca="1" ref="C13" ca="1">_FV(A13,"Industry")</f>
        <v>Diversified Retail</v>
      </c>
      <c r="D13" s="22" cm="1">
        <f t="array" aca="1" ref="D13" ca="1">_FV(A13,"price")</f>
        <v>982.52</v>
      </c>
      <c r="E13" s="28">
        <v>6</v>
      </c>
      <c r="F13" s="22">
        <f t="shared" ca="1" si="0"/>
        <v>5895.12</v>
      </c>
      <c r="G13" s="26">
        <f t="shared" ca="1" si="1"/>
        <v>4.5881036901222826E-2</v>
      </c>
      <c r="H13" s="7" cm="1">
        <f t="array" aca="1" ref="H13" ca="1">_FV(A13,"Beta")</f>
        <v>0.8629</v>
      </c>
      <c r="I13" s="8" cm="1">
        <f t="array" aca="1" ref="I13" ca="1">LN(_FV(Holdings[[#This Row],[Company Name]],"Market cap",TRUE))</f>
        <v>26.799493084449836</v>
      </c>
      <c r="K13" s="7"/>
    </row>
    <row r="14" spans="1:15" ht="40" customHeight="1" x14ac:dyDescent="0.2">
      <c r="A14" s="4" t="e" vm="13">
        <v>#VALUE!</v>
      </c>
      <c r="B14" s="27" t="str" cm="1">
        <f t="array" aca="1" ref="B14" ca="1">_FV(A14,"Ticker symbol",TRUE)</f>
        <v>AMZN</v>
      </c>
      <c r="C14" s="4" t="str" cm="1">
        <f t="array" aca="1" ref="C14" ca="1">_FV(A14,"Industry")</f>
        <v>Diversified Retail</v>
      </c>
      <c r="D14" s="22" cm="1">
        <f t="array" aca="1" ref="D14" ca="1">_FV(A14,"price")</f>
        <v>252.33</v>
      </c>
      <c r="E14" s="28">
        <v>30</v>
      </c>
      <c r="F14" s="22">
        <f t="shared" ca="1" si="0"/>
        <v>7569.9000000000005</v>
      </c>
      <c r="G14" s="26">
        <f t="shared" ca="1" si="1"/>
        <v>5.8915655871053803E-2</v>
      </c>
      <c r="H14" s="7" cm="1">
        <f t="array" aca="1" ref="H14" ca="1">_FV(A14,"Beta")</f>
        <v>1.4918</v>
      </c>
      <c r="I14" s="8" cm="1">
        <f t="array" aca="1" ref="I14" ca="1">LN(_FV(Holdings[[#This Row],[Company Name]],"Market cap",TRUE))</f>
        <v>28.632281329051391</v>
      </c>
      <c r="K14" s="7"/>
    </row>
    <row r="15" spans="1:15" ht="40" customHeight="1" x14ac:dyDescent="0.2">
      <c r="A15" s="4" t="e" vm="14">
        <v>#VALUE!</v>
      </c>
      <c r="B15" s="27" t="str" cm="1">
        <f t="array" aca="1" ref="B15" ca="1">_FV(A15,"Ticker symbol",TRUE)</f>
        <v>COP</v>
      </c>
      <c r="C15" s="4" t="str" cm="1">
        <f t="array" aca="1" ref="C15" ca="1">_FV(A15,"Industry")</f>
        <v>Oil &amp; Gas</v>
      </c>
      <c r="D15" s="22" cm="1">
        <f t="array" aca="1" ref="D15" ca="1">_FV(A15,"price")</f>
        <v>150.24</v>
      </c>
      <c r="E15" s="28">
        <v>40</v>
      </c>
      <c r="F15" s="22">
        <f t="shared" ca="1" si="0"/>
        <v>6009.6</v>
      </c>
      <c r="G15" s="26">
        <f t="shared" ca="1" si="1"/>
        <v>4.6772021496015129E-2</v>
      </c>
      <c r="H15" s="7" cm="1">
        <f t="array" aca="1" ref="H15" ca="1">_FV(A15,"Beta")</f>
        <v>0.2082</v>
      </c>
      <c r="I15" s="8" cm="1">
        <f t="array" aca="1" ref="I15" ca="1">LN(_FV(Holdings[[#This Row],[Company Name]],"Market cap",TRUE))</f>
        <v>25.918935788049499</v>
      </c>
      <c r="K15" s="7"/>
    </row>
    <row r="16" spans="1:15" ht="40" customHeight="1" x14ac:dyDescent="0.2">
      <c r="A16" s="70" t="e" vm="15">
        <v>#VALUE!</v>
      </c>
      <c r="B16" s="27" t="str" cm="1">
        <f t="array" aca="1" ref="B16" ca="1">_FV(A16,"Ticker symbol",TRUE)</f>
        <v>CVX</v>
      </c>
      <c r="C16" s="4" t="str" cm="1">
        <f t="array" aca="1" ref="C16" ca="1">_FV(A16,"Industry")</f>
        <v>Oil &amp; Gas</v>
      </c>
      <c r="D16" s="22" cm="1">
        <f t="array" aca="1" ref="D16" ca="1">_FV(A16,"price")</f>
        <v>231.465</v>
      </c>
      <c r="E16" s="28">
        <v>30</v>
      </c>
      <c r="F16" s="22">
        <f ca="1">E16*D16</f>
        <v>6943.95</v>
      </c>
      <c r="G16" s="26">
        <f t="shared" ca="1" si="1"/>
        <v>5.4043959442767277E-2</v>
      </c>
      <c r="H16" s="7" cm="1">
        <f t="array" aca="1" ref="H16" ca="1">_FV(A16,"Beta")</f>
        <v>0.47989999999999999</v>
      </c>
      <c r="I16" s="8" cm="1">
        <f t="array" aca="1" ref="I16" ca="1">LN(_FV(Holdings[[#This Row],[Company Name]],"Market cap",TRUE))</f>
        <v>26.848653213059261</v>
      </c>
      <c r="K16" s="7"/>
    </row>
    <row r="17" spans="1:9" ht="40" customHeight="1" x14ac:dyDescent="0.2">
      <c r="A17" s="4" t="e" vm="16">
        <v>#VALUE!</v>
      </c>
      <c r="B17" s="27" t="str" cm="1">
        <f t="array" aca="1" ref="B17" ca="1">_FV(A17,"Ticker symbol",TRUE)</f>
        <v>SHEL</v>
      </c>
      <c r="C17" s="4" t="str" cm="1">
        <f t="array" aca="1" ref="C17" ca="1">_FV(A17,"Industry")</f>
        <v>Oil &amp; Gas</v>
      </c>
      <c r="D17" s="22" cm="1">
        <f t="array" aca="1" ref="D17" ca="1">_FV(A17,"price")</f>
        <v>105.64</v>
      </c>
      <c r="E17" s="28">
        <v>30</v>
      </c>
      <c r="F17" s="22">
        <f t="shared" ca="1" si="0"/>
        <v>3169.2</v>
      </c>
      <c r="G17" s="26">
        <f t="shared" ca="1" si="1"/>
        <v>2.4665516927111809E-2</v>
      </c>
      <c r="H17" s="7" cm="1">
        <f t="array" aca="1" ref="H17" ca="1">_FV(A17,"Beta")</f>
        <v>8.3400000000000002E-2</v>
      </c>
      <c r="I17" s="8" cm="1">
        <f t="array" aca="1" ref="I17" ca="1">LN(_FV(Holdings[[#This Row],[Company Name]],"Market cap",TRUE))</f>
        <v>26.431286609980372</v>
      </c>
    </row>
    <row r="18" spans="1:9" ht="40" customHeight="1" x14ac:dyDescent="0.2">
      <c r="A18" s="4" t="e" vm="17">
        <v>#VALUE!</v>
      </c>
      <c r="B18" s="27" t="str" cm="1">
        <f t="array" aca="1" ref="B18" ca="1">_FV(A18,"Ticker symbol",TRUE)</f>
        <v>SPCX</v>
      </c>
      <c r="C18" s="4" t="str" cm="1">
        <f t="array" aca="1" ref="C18" ca="1">_FV(A18,"Industry")</f>
        <v>Telecommunications Services</v>
      </c>
      <c r="D18" s="22" cm="1">
        <f t="array" aca="1" ref="D18" ca="1">_FV(A18,"price")</f>
        <v>144.82</v>
      </c>
      <c r="E18" s="28">
        <v>20</v>
      </c>
      <c r="F18" s="22">
        <f ca="1">E18*D18</f>
        <v>2896.3999999999996</v>
      </c>
      <c r="G18" s="26">
        <f t="shared" ca="1" si="1"/>
        <v>2.2542346089766074E-2</v>
      </c>
      <c r="H18" s="7" cm="1">
        <f t="array" aca="1" ref="H18" ca="1">_FV(A18,"Beta")</f>
        <v>3.1789999999999998</v>
      </c>
      <c r="I18" s="8" cm="1">
        <f t="array" aca="1" ref="I18" ca="1">LN(_FV(Holdings[[#This Row],[Company Name]],"Market cap",TRUE))</f>
        <v>28.307433603956081</v>
      </c>
    </row>
  </sheetData>
  <conditionalFormatting sqref="A2:A1048576">
    <cfRule type="cellIs" dxfId="0" priority="1" operator="equal">
      <formula>"XNAS"</formula>
    </cfRule>
  </conditionalFormatting>
  <printOptions horizontalCentered="1"/>
  <pageMargins left="0.25" right="0.25" top="0.25" bottom="0.5" header="0.3" footer="0.3"/>
  <pageSetup paperSize="9" orientation="landscape"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EE6F-C3BD-7E44-9DA3-8C738B82D914}">
  <dimension ref="A1:I18"/>
  <sheetViews>
    <sheetView showGridLines="0" workbookViewId="0">
      <selection activeCell="J5" sqref="J5"/>
    </sheetView>
  </sheetViews>
  <sheetFormatPr baseColWidth="10" defaultRowHeight="40" customHeight="1" x14ac:dyDescent="0.2"/>
  <cols>
    <col min="1" max="1" width="52.6640625" customWidth="1"/>
    <col min="2" max="2" width="14.1640625" style="30" customWidth="1"/>
    <col min="3" max="3" width="44.5" customWidth="1"/>
    <col min="4" max="4" width="11.1640625" style="29" customWidth="1"/>
    <col min="5" max="5" width="14" style="31" customWidth="1"/>
    <col min="6" max="6" width="17.83203125" style="29" customWidth="1"/>
    <col min="7" max="7" width="10.1640625" style="13" customWidth="1"/>
    <col min="8" max="8" width="8.6640625" style="33" customWidth="1"/>
    <col min="9" max="9" width="10.6640625" style="33" customWidth="1"/>
    <col min="15" max="15" width="20.6640625" customWidth="1"/>
  </cols>
  <sheetData>
    <row r="1" spans="1:9" s="2" customFormat="1" ht="40" customHeight="1" x14ac:dyDescent="0.2">
      <c r="A1" s="1" t="s">
        <v>8</v>
      </c>
      <c r="B1" s="21" t="s">
        <v>7</v>
      </c>
      <c r="C1" s="2" t="s">
        <v>6</v>
      </c>
      <c r="D1" s="21" t="s">
        <v>5</v>
      </c>
      <c r="E1" s="23" t="s">
        <v>4</v>
      </c>
      <c r="F1" s="24" t="s">
        <v>3</v>
      </c>
      <c r="G1" s="32" t="s">
        <v>2</v>
      </c>
      <c r="H1" s="3" t="s">
        <v>1</v>
      </c>
      <c r="I1" s="34" t="s">
        <v>18</v>
      </c>
    </row>
    <row r="2" spans="1:9" ht="40" customHeight="1" x14ac:dyDescent="0.2">
      <c r="A2" t="e" cm="1" vm="9">
        <f t="array" aca="1" ref="A2:I18" ca="1">_xlfn.SORTBY(Holdings[], Holdings[Weight], -1)</f>
        <v>#VALUE!</v>
      </c>
      <c r="B2" s="30" t="str">
        <f ca="1"/>
        <v>AAPL</v>
      </c>
      <c r="C2" t="str">
        <f ca="1"/>
        <v>Computers, Phones &amp; Household Electronics</v>
      </c>
      <c r="D2" s="29">
        <f ca="1"/>
        <v>344.97</v>
      </c>
      <c r="E2" s="31">
        <f ca="1"/>
        <v>50</v>
      </c>
      <c r="F2" s="29">
        <f ca="1"/>
        <v>17248.5</v>
      </c>
      <c r="G2" s="13">
        <f ca="1"/>
        <v>0.13424307986788087</v>
      </c>
      <c r="H2" s="33">
        <f ca="1"/>
        <v>1.0794999999999999</v>
      </c>
      <c r="I2" s="33">
        <f ca="1"/>
        <v>29.247346112778285</v>
      </c>
    </row>
    <row r="3" spans="1:9" ht="40" customHeight="1" x14ac:dyDescent="0.2">
      <c r="A3" t="e" vm="8">
        <f ca="1"/>
        <v>#VALUE!</v>
      </c>
      <c r="B3" s="30" t="str">
        <f ca="1"/>
        <v>MSFT</v>
      </c>
      <c r="C3" t="str">
        <f ca="1"/>
        <v>Software &amp; IT Services</v>
      </c>
      <c r="D3" s="29">
        <f ca="1"/>
        <v>527.55999999999995</v>
      </c>
      <c r="E3" s="31">
        <f ca="1"/>
        <v>30</v>
      </c>
      <c r="F3" s="29">
        <f ca="1"/>
        <v>15826.8</v>
      </c>
      <c r="G3" s="13">
        <f ca="1"/>
        <v>0.12317815325697754</v>
      </c>
      <c r="H3" s="33">
        <f ca="1"/>
        <v>1.0486</v>
      </c>
      <c r="I3" s="33">
        <f ca="1"/>
        <v>28.996573294678939</v>
      </c>
    </row>
    <row r="4" spans="1:9" ht="40" customHeight="1" x14ac:dyDescent="0.2">
      <c r="A4" t="e" vm="4">
        <f ca="1"/>
        <v>#VALUE!</v>
      </c>
      <c r="B4" s="30" t="str">
        <f ca="1"/>
        <v>HSBC</v>
      </c>
      <c r="C4" t="str">
        <f ca="1"/>
        <v>Banking Services</v>
      </c>
      <c r="D4" s="29">
        <f ca="1"/>
        <v>85.95</v>
      </c>
      <c r="E4" s="31">
        <f ca="1"/>
        <v>150</v>
      </c>
      <c r="F4" s="29">
        <f ca="1"/>
        <v>12892.5</v>
      </c>
      <c r="G4" s="13">
        <f ca="1"/>
        <v>0.10034083585219898</v>
      </c>
      <c r="H4" s="33">
        <f ca="1"/>
        <v>0.5363</v>
      </c>
      <c r="I4" s="33">
        <f ca="1"/>
        <v>26.408718270668718</v>
      </c>
    </row>
    <row r="5" spans="1:9" ht="40" customHeight="1" x14ac:dyDescent="0.2">
      <c r="A5" t="e" vm="1">
        <f ca="1"/>
        <v>#VALUE!</v>
      </c>
      <c r="B5" s="30" t="str">
        <f ca="1"/>
        <v>GOOG</v>
      </c>
      <c r="C5" t="str">
        <f ca="1"/>
        <v>Software &amp; IT Services</v>
      </c>
      <c r="D5" s="29">
        <f ca="1"/>
        <v>320.58999999999997</v>
      </c>
      <c r="E5" s="31">
        <f ca="1"/>
        <v>30</v>
      </c>
      <c r="F5" s="29">
        <f ca="1"/>
        <v>9617.6999999999989</v>
      </c>
      <c r="G5" s="13">
        <f ca="1"/>
        <v>7.4853446342888819E-2</v>
      </c>
      <c r="H5" s="33">
        <f ca="1"/>
        <v>1.2030000000000001</v>
      </c>
      <c r="I5" s="33">
        <f ca="1"/>
        <v>28.997320834818318</v>
      </c>
    </row>
    <row r="6" spans="1:9" ht="40" customHeight="1" x14ac:dyDescent="0.2">
      <c r="A6" t="e" vm="6">
        <f ca="1"/>
        <v>#VALUE!</v>
      </c>
      <c r="B6" s="30" t="str">
        <f ca="1"/>
        <v>NVDA</v>
      </c>
      <c r="C6" t="str">
        <f ca="1"/>
        <v>Semiconductors &amp; Semiconductor Equipment</v>
      </c>
      <c r="D6" s="29">
        <f ca="1"/>
        <v>217.3</v>
      </c>
      <c r="E6" s="31">
        <f ca="1"/>
        <v>40</v>
      </c>
      <c r="F6" s="29">
        <f ca="1"/>
        <v>8692</v>
      </c>
      <c r="G6" s="13">
        <f ca="1"/>
        <v>6.7648830345341374E-2</v>
      </c>
      <c r="H6" s="33">
        <f ca="1"/>
        <v>2.1890999999999998</v>
      </c>
      <c r="I6" s="33">
        <f ca="1"/>
        <v>29.286756564705403</v>
      </c>
    </row>
    <row r="7" spans="1:9" ht="40" customHeight="1" x14ac:dyDescent="0.2">
      <c r="A7" t="e" vm="13">
        <f ca="1"/>
        <v>#VALUE!</v>
      </c>
      <c r="B7" s="30" t="str">
        <f ca="1"/>
        <v>AMZN</v>
      </c>
      <c r="C7" t="str">
        <f ca="1"/>
        <v>Diversified Retail</v>
      </c>
      <c r="D7" s="29">
        <f ca="1"/>
        <v>252.33</v>
      </c>
      <c r="E7" s="31">
        <f ca="1"/>
        <v>30</v>
      </c>
      <c r="F7" s="29">
        <f ca="1"/>
        <v>7569.9000000000005</v>
      </c>
      <c r="G7" s="13">
        <f ca="1"/>
        <v>5.8915655871053803E-2</v>
      </c>
      <c r="H7" s="33">
        <f ca="1"/>
        <v>1.4918</v>
      </c>
      <c r="I7" s="33">
        <f ca="1"/>
        <v>28.632281329051391</v>
      </c>
    </row>
    <row r="8" spans="1:9" ht="40" customHeight="1" x14ac:dyDescent="0.2">
      <c r="A8" t="e" vm="3">
        <f ca="1"/>
        <v>#VALUE!</v>
      </c>
      <c r="B8" s="30" t="str">
        <f ca="1"/>
        <v>VRT</v>
      </c>
      <c r="C8" t="str">
        <f ca="1"/>
        <v>Machinery, Equipment &amp; Components</v>
      </c>
      <c r="D8" s="29">
        <f ca="1"/>
        <v>235.23500000000001</v>
      </c>
      <c r="E8" s="31">
        <f ca="1"/>
        <v>30</v>
      </c>
      <c r="F8" s="29">
        <f ca="1"/>
        <v>7057.05</v>
      </c>
      <c r="G8" s="13">
        <f ca="1"/>
        <v>5.4924203657224037E-2</v>
      </c>
      <c r="H8" s="33">
        <f ca="1"/>
        <v>2.1038999999999999</v>
      </c>
      <c r="I8" s="33">
        <f ca="1"/>
        <v>25.229308256908951</v>
      </c>
    </row>
    <row r="9" spans="1:9" ht="40" customHeight="1" x14ac:dyDescent="0.2">
      <c r="A9" t="e" vm="15">
        <f ca="1"/>
        <v>#VALUE!</v>
      </c>
      <c r="B9" s="30" t="str">
        <f ca="1"/>
        <v>CVX</v>
      </c>
      <c r="C9" t="str">
        <f ca="1"/>
        <v>Oil &amp; Gas</v>
      </c>
      <c r="D9" s="29">
        <f ca="1"/>
        <v>231.465</v>
      </c>
      <c r="E9" s="31">
        <f ca="1"/>
        <v>30</v>
      </c>
      <c r="F9" s="29">
        <f ca="1"/>
        <v>6943.95</v>
      </c>
      <c r="G9" s="13">
        <f ca="1"/>
        <v>5.4043959442767277E-2</v>
      </c>
      <c r="H9" s="33">
        <f ca="1"/>
        <v>0.47989999999999999</v>
      </c>
      <c r="I9" s="33">
        <f ca="1"/>
        <v>26.848653213059261</v>
      </c>
    </row>
    <row r="10" spans="1:9" ht="40" customHeight="1" x14ac:dyDescent="0.2">
      <c r="A10" t="e" vm="10">
        <f ca="1"/>
        <v>#VALUE!</v>
      </c>
      <c r="B10" s="30" t="str">
        <f ca="1"/>
        <v>AVGO</v>
      </c>
      <c r="C10" t="str">
        <f ca="1"/>
        <v>Semiconductors &amp; Semiconductor Equipment</v>
      </c>
      <c r="D10" s="29">
        <f ca="1"/>
        <v>346.15</v>
      </c>
      <c r="E10" s="31">
        <f ca="1"/>
        <v>20</v>
      </c>
      <c r="F10" s="29">
        <f ca="1"/>
        <v>6923</v>
      </c>
      <c r="G10" s="13">
        <f ca="1"/>
        <v>5.3880908016658798E-2</v>
      </c>
      <c r="H10" s="33">
        <f ca="1"/>
        <v>1.4911000000000001</v>
      </c>
      <c r="I10" s="33">
        <f ca="1"/>
        <v>28.133245065841542</v>
      </c>
    </row>
    <row r="11" spans="1:9" ht="40" customHeight="1" x14ac:dyDescent="0.2">
      <c r="A11" t="e" vm="5">
        <f ca="1"/>
        <v>#VALUE!</v>
      </c>
      <c r="B11" s="30" t="str">
        <f ca="1"/>
        <v>KO</v>
      </c>
      <c r="C11" t="str">
        <f ca="1"/>
        <v>Beverages</v>
      </c>
      <c r="D11" s="29">
        <f ca="1"/>
        <v>92.125</v>
      </c>
      <c r="E11" s="31">
        <f ca="1"/>
        <v>70</v>
      </c>
      <c r="F11" s="29">
        <f ca="1"/>
        <v>6448.75</v>
      </c>
      <c r="G11" s="13">
        <f ca="1"/>
        <v>5.0189875136852295E-2</v>
      </c>
      <c r="H11" s="33">
        <f ca="1"/>
        <v>0.2949</v>
      </c>
      <c r="I11" s="33">
        <f ca="1"/>
        <v>26.705619825222101</v>
      </c>
    </row>
    <row r="12" spans="1:9" ht="40" customHeight="1" x14ac:dyDescent="0.2">
      <c r="A12" t="e" vm="14">
        <f ca="1"/>
        <v>#VALUE!</v>
      </c>
      <c r="B12" s="30" t="str">
        <f ca="1"/>
        <v>COP</v>
      </c>
      <c r="C12" t="str">
        <f ca="1"/>
        <v>Oil &amp; Gas</v>
      </c>
      <c r="D12" s="29">
        <f ca="1"/>
        <v>150.24</v>
      </c>
      <c r="E12" s="31">
        <f ca="1"/>
        <v>40</v>
      </c>
      <c r="F12" s="29">
        <f ca="1"/>
        <v>6009.6</v>
      </c>
      <c r="G12" s="13">
        <f ca="1"/>
        <v>4.6772021496015129E-2</v>
      </c>
      <c r="H12" s="33">
        <f ca="1"/>
        <v>0.2082</v>
      </c>
      <c r="I12" s="33">
        <f ca="1"/>
        <v>25.918935788049499</v>
      </c>
    </row>
    <row r="13" spans="1:9" ht="40" customHeight="1" x14ac:dyDescent="0.2">
      <c r="A13" t="e" vm="12">
        <f ca="1"/>
        <v>#VALUE!</v>
      </c>
      <c r="B13" s="30" t="str">
        <f ca="1"/>
        <v>COST</v>
      </c>
      <c r="C13" t="str">
        <f ca="1"/>
        <v>Diversified Retail</v>
      </c>
      <c r="D13" s="29">
        <f ca="1"/>
        <v>982.52</v>
      </c>
      <c r="E13" s="31">
        <f ca="1"/>
        <v>6</v>
      </c>
      <c r="F13" s="29">
        <f ca="1"/>
        <v>5895.12</v>
      </c>
      <c r="G13" s="13">
        <f ca="1"/>
        <v>4.5881036901222826E-2</v>
      </c>
      <c r="H13" s="33">
        <f ca="1"/>
        <v>0.8629</v>
      </c>
      <c r="I13" s="33">
        <f ca="1"/>
        <v>26.799493084449836</v>
      </c>
    </row>
    <row r="14" spans="1:9" ht="40" customHeight="1" x14ac:dyDescent="0.2">
      <c r="A14" t="e" vm="7">
        <f ca="1"/>
        <v>#VALUE!</v>
      </c>
      <c r="B14" s="30" t="str">
        <f ca="1"/>
        <v>WMT</v>
      </c>
      <c r="C14" t="str">
        <f ca="1"/>
        <v>Food &amp; Drug Retailing</v>
      </c>
      <c r="D14" s="29">
        <f ca="1"/>
        <v>118.62</v>
      </c>
      <c r="E14" s="31">
        <f ca="1"/>
        <v>40</v>
      </c>
      <c r="F14" s="29">
        <f ca="1"/>
        <v>4744.8</v>
      </c>
      <c r="G14" s="13">
        <f ca="1"/>
        <v>3.6928229431957629E-2</v>
      </c>
      <c r="H14" s="33">
        <f ca="1"/>
        <v>0.56569999999999998</v>
      </c>
      <c r="I14" s="33">
        <f ca="1"/>
        <v>27.570316250820206</v>
      </c>
    </row>
    <row r="15" spans="1:9" ht="40" customHeight="1" x14ac:dyDescent="0.2">
      <c r="A15" t="e" vm="11">
        <f ca="1"/>
        <v>#VALUE!</v>
      </c>
      <c r="B15" s="30" t="str">
        <f ca="1"/>
        <v>IBKR</v>
      </c>
      <c r="C15" t="str">
        <f ca="1"/>
        <v>Investment Banking &amp; Investment Services</v>
      </c>
      <c r="D15" s="29">
        <f ca="1"/>
        <v>82.56</v>
      </c>
      <c r="E15" s="31">
        <f ca="1"/>
        <v>50</v>
      </c>
      <c r="F15" s="29">
        <f ca="1"/>
        <v>4128</v>
      </c>
      <c r="G15" s="13">
        <f ca="1"/>
        <v>3.2127746395026364E-2</v>
      </c>
      <c r="H15" s="33">
        <f ca="1"/>
        <v>1.3588</v>
      </c>
      <c r="I15" s="33">
        <f ca="1"/>
        <v>25.669660993117731</v>
      </c>
    </row>
    <row r="16" spans="1:9" ht="40" customHeight="1" x14ac:dyDescent="0.2">
      <c r="A16" t="e" vm="16">
        <f ca="1"/>
        <v>#VALUE!</v>
      </c>
      <c r="B16" s="30" t="str">
        <f ca="1"/>
        <v>SHEL</v>
      </c>
      <c r="C16" t="str">
        <f ca="1"/>
        <v>Oil &amp; Gas</v>
      </c>
      <c r="D16" s="29">
        <f ca="1"/>
        <v>105.64</v>
      </c>
      <c r="E16" s="31">
        <f ca="1"/>
        <v>30</v>
      </c>
      <c r="F16" s="29">
        <f ca="1"/>
        <v>3169.2</v>
      </c>
      <c r="G16" s="13">
        <f ca="1"/>
        <v>2.4665516927111809E-2</v>
      </c>
      <c r="H16" s="33">
        <f ca="1"/>
        <v>8.3400000000000002E-2</v>
      </c>
      <c r="I16" s="33">
        <f ca="1"/>
        <v>26.431286609980372</v>
      </c>
    </row>
    <row r="17" spans="1:9" ht="40" customHeight="1" x14ac:dyDescent="0.2">
      <c r="A17" t="e" vm="17">
        <f ca="1"/>
        <v>#VALUE!</v>
      </c>
      <c r="B17" s="30" t="str">
        <f ca="1"/>
        <v>SPCX</v>
      </c>
      <c r="C17" t="str">
        <f ca="1"/>
        <v>Telecommunications Services</v>
      </c>
      <c r="D17" s="29">
        <f ca="1"/>
        <v>144.82</v>
      </c>
      <c r="E17" s="31">
        <f ca="1"/>
        <v>20</v>
      </c>
      <c r="F17" s="29">
        <f ca="1"/>
        <v>2896.3999999999996</v>
      </c>
      <c r="G17" s="13">
        <f ca="1"/>
        <v>2.2542346089766074E-2</v>
      </c>
      <c r="H17" s="33">
        <f ca="1"/>
        <v>3.1789999999999998</v>
      </c>
      <c r="I17" s="33">
        <f ca="1"/>
        <v>28.307433603956081</v>
      </c>
    </row>
    <row r="18" spans="1:9" ht="40" customHeight="1" x14ac:dyDescent="0.2">
      <c r="A18" t="e" vm="2">
        <f ca="1"/>
        <v>#VALUE!</v>
      </c>
      <c r="B18" s="30" t="str">
        <f ca="1"/>
        <v>CRWV</v>
      </c>
      <c r="C18" t="str">
        <f ca="1"/>
        <v>Software &amp; IT Services</v>
      </c>
      <c r="D18" s="29">
        <f ca="1"/>
        <v>60.594999999999999</v>
      </c>
      <c r="E18" s="31">
        <f ca="1"/>
        <v>40</v>
      </c>
      <c r="F18" s="29">
        <f ca="1"/>
        <v>2423.8000000000002</v>
      </c>
      <c r="G18" s="13">
        <f ca="1"/>
        <v>1.8864154969056423E-2</v>
      </c>
      <c r="H18" s="33">
        <f ca="1"/>
        <v>2.9889999999999999</v>
      </c>
      <c r="I18" s="33">
        <f ca="1"/>
        <v>24.232431140336821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806D3-B5B4-AE44-8D0E-1EFD90E7CBB4}">
  <dimension ref="A1:IP252"/>
  <sheetViews>
    <sheetView showGridLines="0" zoomScale="91" workbookViewId="0">
      <pane ySplit="1" topLeftCell="A22" activePane="bottomLeft" state="frozen"/>
      <selection pane="bottomLeft" activeCell="A3" sqref="A3"/>
    </sheetView>
  </sheetViews>
  <sheetFormatPr baseColWidth="10" defaultRowHeight="20" customHeight="1" x14ac:dyDescent="0.2"/>
  <sheetData>
    <row r="1" spans="1:250" s="11" customFormat="1" ht="20" customHeight="1" x14ac:dyDescent="0.2">
      <c r="A1" s="11" t="s">
        <v>19</v>
      </c>
      <c r="B1" s="11" t="str" cm="1">
        <f t="array" aca="1" ref="B1:R1" ca="1">_xlfn.TOROW(_xlfn.DROP(Holdings!B:B,1),1)</f>
        <v>GOOG</v>
      </c>
      <c r="C1" s="11" t="str">
        <f ca="1"/>
        <v>CRWV</v>
      </c>
      <c r="D1" s="11" t="str">
        <f ca="1"/>
        <v>VRT</v>
      </c>
      <c r="E1" s="11" t="str">
        <f ca="1"/>
        <v>HSBC</v>
      </c>
      <c r="F1" s="11" t="str">
        <f ca="1"/>
        <v>KO</v>
      </c>
      <c r="G1" s="11" t="str">
        <f ca="1"/>
        <v>NVDA</v>
      </c>
      <c r="H1" s="11" t="str">
        <f ca="1"/>
        <v>WMT</v>
      </c>
      <c r="I1" s="11" t="str">
        <f ca="1"/>
        <v>MSFT</v>
      </c>
      <c r="J1" s="11" t="str">
        <f ca="1"/>
        <v>AAPL</v>
      </c>
      <c r="K1" s="11" t="str">
        <f ca="1"/>
        <v>AVGO</v>
      </c>
      <c r="L1" s="11" t="str">
        <f ca="1"/>
        <v>IBKR</v>
      </c>
      <c r="M1" s="11" t="str">
        <f ca="1"/>
        <v>COST</v>
      </c>
      <c r="N1" s="11" t="str">
        <f ca="1"/>
        <v>AMZN</v>
      </c>
      <c r="O1" s="11" t="str">
        <f ca="1"/>
        <v>COP</v>
      </c>
      <c r="P1" s="11" t="str">
        <f ca="1"/>
        <v>CVX</v>
      </c>
      <c r="Q1" s="11" t="str">
        <f ca="1"/>
        <v>SHEL</v>
      </c>
      <c r="R1" s="11" t="str">
        <f ca="1"/>
        <v>SPCX</v>
      </c>
    </row>
    <row r="2" spans="1:250" ht="20" customHeight="1" x14ac:dyDescent="0.2">
      <c r="A2" cm="1" vm="18">
        <f t="array" aca="1" ref="A2:A252" ca="1">_xlfn.CHOOSECOLS(_xlfn.STOCKHISTORY("SPY", TODAY()-365, TODAY(), 0, 0, 0, 1), 1)</f>
        <v>45958</v>
      </c>
      <c r="B2" s="18" cm="1" vm="19">
        <f t="array" aca="1" ref="B2:B252" ca="1">IF(B$1="", "", _xlfn.LET(_xlpm.history, _xlfn.STOCKHISTORY(B$1, TODAY()-365, TODAY(), 0, 0, 0, 1),_xlfn.IFNA(_xlfn.XLOOKUP(_xlfn.ANCHORARRAY($A2), _xlfn.CHOOSECOLS(_xlpm.history, 1), _xlfn.CHOOSECOLS(_xlpm.history, 2), NA()), NA())))</f>
        <v>268.43</v>
      </c>
      <c r="C2" s="18" cm="1" vm="20">
        <f t="array" aca="1" ref="C2:C252" ca="1">IF(C$1="", "", _xlfn.LET(_xlpm.history, _xlfn.STOCKHISTORY(C$1, TODAY()-365, TODAY(), 0, 0, 0, 1),_xlfn.IFNA(_xlfn.XLOOKUP(_xlfn.ANCHORARRAY($A2), _xlfn.CHOOSECOLS(_xlpm.history, 1), _xlfn.CHOOSECOLS(_xlpm.history, 2), NA()), NA())))</f>
        <v>134.80000000000001</v>
      </c>
      <c r="D2" s="18" cm="1" vm="21">
        <f t="array" aca="1" ref="D2:D252" ca="1">IF(D$1="", "", _xlfn.LET(_xlpm.history, _xlfn.STOCKHISTORY(D$1, TODAY()-365, TODAY(), 0, 0, 0, 1),_xlfn.IFNA(_xlfn.XLOOKUP(_xlfn.ANCHORARRAY($A2), _xlfn.CHOOSECOLS(_xlpm.history, 1), _xlfn.CHOOSECOLS(_xlpm.history, 2), NA()), NA())))</f>
        <v>190.57</v>
      </c>
      <c r="E2" s="18" cm="1" vm="22">
        <f t="array" aca="1" ref="E2:E252" ca="1">IF(E$1="", "", _xlfn.LET(_xlpm.history, _xlfn.STOCKHISTORY(E$1, TODAY()-365, TODAY(), 0, 0, 0, 1),_xlfn.IFNA(_xlfn.XLOOKUP(_xlfn.ANCHORARRAY($A2), _xlfn.CHOOSECOLS(_xlpm.history, 1), _xlfn.CHOOSECOLS(_xlpm.history, 2), NA()), NA())))</f>
        <v>70.040000000000006</v>
      </c>
      <c r="F2" s="18" cm="1" vm="23">
        <f t="array" aca="1" ref="F2:F252" ca="1">IF(F$1="", "", _xlfn.LET(_xlpm.history, _xlfn.STOCKHISTORY(F$1, TODAY()-365, TODAY(), 0, 0, 0, 1),_xlfn.IFNA(_xlfn.XLOOKUP(_xlfn.ANCHORARRAY($A2), _xlfn.CHOOSECOLS(_xlpm.history, 1), _xlfn.CHOOSECOLS(_xlpm.history, 2), NA()), NA())))</f>
        <v>70.16</v>
      </c>
      <c r="G2" s="18" cm="1" vm="24">
        <f t="array" aca="1" ref="G2:G252" ca="1">IF(G$1="", "", _xlfn.LET(_xlpm.history, _xlfn.STOCKHISTORY(G$1, TODAY()-365, TODAY(), 0, 0, 0, 1),_xlfn.IFNA(_xlfn.XLOOKUP(_xlfn.ANCHORARRAY($A2), _xlfn.CHOOSECOLS(_xlpm.history, 1), _xlfn.CHOOSECOLS(_xlpm.history, 2), NA()), NA())))</f>
        <v>8.24</v>
      </c>
      <c r="H2" s="18" cm="1" vm="25">
        <f t="array" aca="1" ref="H2:H252" ca="1">IF(H$1="", "", _xlfn.LET(_xlpm.history, _xlfn.STOCKHISTORY(H$1, TODAY()-365, TODAY(), 0, 0, 0, 1),_xlfn.IFNA(_xlfn.XLOOKUP(_xlfn.ANCHORARRAY($A2), _xlfn.CHOOSECOLS(_xlpm.history, 1), _xlfn.CHOOSECOLS(_xlpm.history, 2), NA()), NA())))</f>
        <v>103.17</v>
      </c>
      <c r="I2" s="18" cm="1" vm="26">
        <f t="array" aca="1" ref="I2:I252" ca="1">IF(I$1="", "", _xlfn.LET(_xlpm.history, _xlfn.STOCKHISTORY(I$1, TODAY()-365, TODAY(), 0, 0, 0, 1),_xlfn.IFNA(_xlfn.XLOOKUP(_xlfn.ANCHORARRAY($A2), _xlfn.CHOOSECOLS(_xlpm.history, 1), _xlfn.CHOOSECOLS(_xlpm.history, 2), NA()), NA())))</f>
        <v>542.07000000000005</v>
      </c>
      <c r="J2" s="18" cm="1" vm="27">
        <f t="array" aca="1" ref="J2:J252" ca="1">IF(J$1="", "", _xlfn.LET(_xlpm.history, _xlfn.STOCKHISTORY(J$1, TODAY()-365, TODAY(), 0, 0, 0, 1),_xlfn.IFNA(_xlfn.XLOOKUP(_xlfn.ANCHORARRAY($A2), _xlfn.CHOOSECOLS(_xlpm.history, 1), _xlfn.CHOOSECOLS(_xlpm.history, 2), NA()), NA())))</f>
        <v>269</v>
      </c>
      <c r="K2" s="18" cm="1" vm="28">
        <f t="array" aca="1" ref="K2:K252" ca="1">IF(K$1="", "", _xlfn.LET(_xlpm.history, _xlfn.STOCKHISTORY(K$1, TODAY()-365, TODAY(), 0, 0, 0, 1),_xlfn.IFNA(_xlfn.XLOOKUP(_xlfn.ANCHORARRAY($A2), _xlfn.CHOOSECOLS(_xlpm.history, 1), _xlfn.CHOOSECOLS(_xlpm.history, 2), NA()), NA())))</f>
        <v>372.97</v>
      </c>
      <c r="L2" s="18" cm="1" vm="29">
        <f t="array" aca="1" ref="L2:L252" ca="1">IF(L$1="", "", _xlfn.LET(_xlpm.history, _xlfn.STOCKHISTORY(L$1, TODAY()-365, TODAY(), 0, 0, 0, 1),_xlfn.IFNA(_xlfn.XLOOKUP(_xlfn.ANCHORARRAY($A2), _xlfn.CHOOSECOLS(_xlpm.history, 1), _xlfn.CHOOSECOLS(_xlpm.history, 2), NA()), NA())))</f>
        <v>68.650000000000006</v>
      </c>
      <c r="M2" s="18" cm="1" vm="30">
        <f t="array" aca="1" ref="M2:M252" ca="1">IF(M$1="", "", _xlfn.LET(_xlpm.history, _xlfn.STOCKHISTORY(M$1, TODAY()-365, TODAY(), 0, 0, 0, 1),_xlfn.IFNA(_xlfn.XLOOKUP(_xlfn.ANCHORARRAY($A2), _xlfn.CHOOSECOLS(_xlpm.history, 1), _xlfn.CHOOSECOLS(_xlpm.history, 2), NA()), NA())))</f>
        <v>924.16</v>
      </c>
      <c r="N2" s="18" cm="1" vm="31">
        <f t="array" aca="1" ref="N2:N252" ca="1">IF(N$1="", "", _xlfn.LET(_xlpm.history, _xlfn.STOCKHISTORY(N$1, TODAY()-365, TODAY(), 0, 0, 0, 1),_xlfn.IFNA(_xlfn.XLOOKUP(_xlfn.ANCHORARRAY($A2), _xlfn.CHOOSECOLS(_xlpm.history, 1), _xlfn.CHOOSECOLS(_xlpm.history, 2), NA()), NA())))</f>
        <v>229.25</v>
      </c>
      <c r="O2" s="18" cm="1" vm="32">
        <f t="array" aca="1" ref="O2:O252" ca="1">IF(O$1="", "", _xlfn.LET(_xlpm.history, _xlfn.STOCKHISTORY(O$1, TODAY()-365, TODAY(), 0, 0, 0, 1),_xlfn.IFNA(_xlfn.XLOOKUP(_xlfn.ANCHORARRAY($A2), _xlfn.CHOOSECOLS(_xlpm.history, 1), _xlfn.CHOOSECOLS(_xlpm.history, 2), NA()), NA())))</f>
        <v>86.79</v>
      </c>
      <c r="P2" s="18" cm="1" vm="33">
        <f t="array" aca="1" ref="P2:P252" ca="1">IF(P$1="", "", _xlfn.LET(_xlpm.history, _xlfn.STOCKHISTORY(P$1, TODAY()-365, TODAY(), 0, 0, 0, 1),_xlfn.IFNA(_xlfn.XLOOKUP(_xlfn.ANCHORARRAY($A2), _xlfn.CHOOSECOLS(_xlpm.history, 1), _xlfn.CHOOSECOLS(_xlpm.history, 2), NA()), NA())))</f>
        <v>154.13</v>
      </c>
      <c r="Q2" s="18" cm="1" vm="34">
        <f t="array" aca="1" ref="Q2:Q252" ca="1">IF(Q$1="", "", _xlfn.LET(_xlpm.history, _xlfn.STOCKHISTORY(Q$1, TODAY()-365, TODAY(), 0, 0, 0, 1),_xlfn.IFNA(_xlfn.XLOOKUP(_xlfn.ANCHORARRAY($A2), _xlfn.CHOOSECOLS(_xlpm.history, 1), _xlfn.CHOOSECOLS(_xlpm.history, 2), NA()), NA())))</f>
        <v>75.069999999999993</v>
      </c>
      <c r="R2" s="18" t="e" cm="1">
        <f t="array" aca="1" ref="R2:R252" ca="1">IF(R$1="", "", _xlfn.LET(_xlpm.history, _xlfn.STOCKHISTORY(R$1, TODAY()-365, TODAY(), 0, 0, 0, 1),_xlfn.IFNA(_xlfn.XLOOKUP(_xlfn.ANCHORARRAY($A2), _xlfn.CHOOSECOLS(_xlpm.history, 1), _xlfn.CHOOSECOLS(_xlpm.history, 2), NA()), NA())))</f>
        <v>#N/A</v>
      </c>
      <c r="S2" s="18" t="str" cm="1">
        <f t="array" aca="1" ref="S2" ca="1">IF(S$1="", "", _xlfn.LET(_xlpm.history, _xlfn.STOCKHISTORY(S$1, TODAY()-365, TODAY(), 0, 0, 0, 1),_xlfn.IFNA(_xlfn.XLOOKUP(_xlfn.ANCHORARRAY($A2), _xlfn.CHOOSECOLS(_xlpm.history, 1), _xlfn.CHOOSECOLS(_xlpm.history, 2), NA()), NA())))</f>
        <v/>
      </c>
      <c r="T2" s="18" t="str" cm="1">
        <f t="array" aca="1" ref="T2" ca="1">IF(T$1="", "", _xlfn.LET(_xlpm.history, _xlfn.STOCKHISTORY(T$1, TODAY()-365, TODAY(), 0, 0, 0, 1),_xlfn.IFNA(_xlfn.XLOOKUP(_xlfn.ANCHORARRAY($A2), _xlfn.CHOOSECOLS(_xlpm.history, 1), _xlfn.CHOOSECOLS(_xlpm.history, 2), NA()), NA())))</f>
        <v/>
      </c>
      <c r="U2" s="18" t="str" cm="1">
        <f t="array" aca="1" ref="U2" ca="1">IF(U$1="", "", _xlfn.LET(_xlpm.history, _xlfn.STOCKHISTORY(U$1, TODAY()-365, TODAY(), 0, 0, 0, 1),_xlfn.IFNA(_xlfn.XLOOKUP(_xlfn.ANCHORARRAY($A2), _xlfn.CHOOSECOLS(_xlpm.history, 1), _xlfn.CHOOSECOLS(_xlpm.history, 2), NA()), NA())))</f>
        <v/>
      </c>
      <c r="V2" s="18" t="str" cm="1">
        <f t="array" aca="1" ref="V2" ca="1">IF(V$1="", "", _xlfn.LET(_xlpm.history, _xlfn.STOCKHISTORY(V$1, TODAY()-365, TODAY(), 0, 0, 0, 1),_xlfn.IFNA(_xlfn.XLOOKUP(_xlfn.ANCHORARRAY($A2), _xlfn.CHOOSECOLS(_xlpm.history, 1), _xlfn.CHOOSECOLS(_xlpm.history, 2), NA()), NA())))</f>
        <v/>
      </c>
      <c r="W2" s="18" t="str" cm="1">
        <f t="array" aca="1" ref="W2" ca="1">IF(W$1="", "", _xlfn.LET(_xlpm.history, _xlfn.STOCKHISTORY(W$1, TODAY()-365, TODAY(), 0, 0, 0, 1),_xlfn.IFNA(_xlfn.XLOOKUP(_xlfn.ANCHORARRAY($A2), _xlfn.CHOOSECOLS(_xlpm.history, 1), _xlfn.CHOOSECOLS(_xlpm.history, 2), NA()), NA())))</f>
        <v/>
      </c>
      <c r="X2" s="18" t="str" cm="1">
        <f t="array" aca="1" ref="X2" ca="1">IF(X$1="", "", _xlfn.LET(_xlpm.history, _xlfn.STOCKHISTORY(X$1, TODAY()-365, TODAY(), 0, 0, 0, 1),_xlfn.IFNA(_xlfn.XLOOKUP(_xlfn.ANCHORARRAY($A2), _xlfn.CHOOSECOLS(_xlpm.history, 1), _xlfn.CHOOSECOLS(_xlpm.history, 2), NA()), NA())))</f>
        <v/>
      </c>
      <c r="Y2" s="18" t="str" cm="1">
        <f t="array" aca="1" ref="Y2" ca="1">IF(Y$1="", "", _xlfn.LET(_xlpm.history, _xlfn.STOCKHISTORY(Y$1, TODAY()-365, TODAY(), 0, 0, 0, 1),_xlfn.IFNA(_xlfn.XLOOKUP(_xlfn.ANCHORARRAY($A2), _xlfn.CHOOSECOLS(_xlpm.history, 1), _xlfn.CHOOSECOLS(_xlpm.history, 2), NA()), NA())))</f>
        <v/>
      </c>
      <c r="Z2" s="18" t="str" cm="1">
        <f t="array" aca="1" ref="Z2" ca="1">IF(Z$1="", "", _xlfn.LET(_xlpm.history, _xlfn.STOCKHISTORY(Z$1, TODAY()-365, TODAY(), 0, 0, 0, 1),_xlfn.IFNA(_xlfn.XLOOKUP(_xlfn.ANCHORARRAY($A2), _xlfn.CHOOSECOLS(_xlpm.history, 1), _xlfn.CHOOSECOLS(_xlpm.history, 2), NA()), NA())))</f>
        <v/>
      </c>
      <c r="AA2" s="18" t="str" cm="1">
        <f t="array" aca="1" ref="AA2" ca="1">IF(AA$1="", "", _xlfn.LET(_xlpm.history, _xlfn.STOCKHISTORY(AA$1, TODAY()-365, TODAY(), 0, 0, 0, 1),_xlfn.IFNA(_xlfn.XLOOKUP(_xlfn.ANCHORARRAY($A2), _xlfn.CHOOSECOLS(_xlpm.history, 1), _xlfn.CHOOSECOLS(_xlpm.history, 2), NA()), NA())))</f>
        <v/>
      </c>
      <c r="AB2" s="18" t="str" cm="1">
        <f t="array" aca="1" ref="AB2" ca="1">IF(AB$1="", "", _xlfn.LET(_xlpm.history, _xlfn.STOCKHISTORY(AB$1, TODAY()-365, TODAY(), 0, 0, 0, 1),_xlfn.IFNA(_xlfn.XLOOKUP(_xlfn.ANCHORARRAY($A2), _xlfn.CHOOSECOLS(_xlpm.history, 1), _xlfn.CHOOSECOLS(_xlpm.history, 2), NA()), NA())))</f>
        <v/>
      </c>
      <c r="AC2" s="18" t="str" cm="1">
        <f t="array" aca="1" ref="AC2" ca="1">IF(AC$1="", "", _xlfn.LET(_xlpm.history, _xlfn.STOCKHISTORY(AC$1, TODAY()-365, TODAY(), 0, 0, 0, 1),_xlfn.IFNA(_xlfn.XLOOKUP(_xlfn.ANCHORARRAY($A2), _xlfn.CHOOSECOLS(_xlpm.history, 1), _xlfn.CHOOSECOLS(_xlpm.history, 2), NA()), NA())))</f>
        <v/>
      </c>
      <c r="AD2" s="18" t="str" cm="1">
        <f t="array" aca="1" ref="AD2" ca="1">IF(AD$1="", "", _xlfn.LET(_xlpm.history, _xlfn.STOCKHISTORY(AD$1, TODAY()-365, TODAY(), 0, 0, 0, 1),_xlfn.IFNA(_xlfn.XLOOKUP(_xlfn.ANCHORARRAY($A2), _xlfn.CHOOSECOLS(_xlpm.history, 1), _xlfn.CHOOSECOLS(_xlpm.history, 2), NA()), NA())))</f>
        <v/>
      </c>
      <c r="AE2" s="18" t="str" cm="1">
        <f t="array" aca="1" ref="AE2" ca="1">IF(AE$1="", "", _xlfn.LET(_xlpm.history, _xlfn.STOCKHISTORY(AE$1, TODAY()-365, TODAY(), 0, 0, 0, 1),_xlfn.IFNA(_xlfn.XLOOKUP(_xlfn.ANCHORARRAY($A2), _xlfn.CHOOSECOLS(_xlpm.history, 1), _xlfn.CHOOSECOLS(_xlpm.history, 2), NA()), NA())))</f>
        <v/>
      </c>
      <c r="AF2" s="18" t="str" cm="1">
        <f t="array" aca="1" ref="AF2" ca="1">IF(AF$1="", "", _xlfn.LET(_xlpm.history, _xlfn.STOCKHISTORY(AF$1, TODAY()-365, TODAY(), 0, 0, 0, 1),_xlfn.IFNA(_xlfn.XLOOKUP(_xlfn.ANCHORARRAY($A2), _xlfn.CHOOSECOLS(_xlpm.history, 1), _xlfn.CHOOSECOLS(_xlpm.history, 2), NA()), NA())))</f>
        <v/>
      </c>
      <c r="AG2" s="18" t="str" cm="1">
        <f t="array" aca="1" ref="AG2" ca="1">IF(AG$1="", "", _xlfn.LET(_xlpm.history, _xlfn.STOCKHISTORY(AG$1, TODAY()-365, TODAY(), 0, 0, 0, 1),_xlfn.IFNA(_xlfn.XLOOKUP(_xlfn.ANCHORARRAY($A2), _xlfn.CHOOSECOLS(_xlpm.history, 1), _xlfn.CHOOSECOLS(_xlpm.history, 2), NA()), NA())))</f>
        <v/>
      </c>
      <c r="AH2" s="18" t="str" cm="1">
        <f t="array" aca="1" ref="AH2" ca="1">IF(AH$1="", "", _xlfn.LET(_xlpm.history, _xlfn.STOCKHISTORY(AH$1, TODAY()-365, TODAY(), 0, 0, 0, 1),_xlfn.IFNA(_xlfn.XLOOKUP(_xlfn.ANCHORARRAY($A2), _xlfn.CHOOSECOLS(_xlpm.history, 1), _xlfn.CHOOSECOLS(_xlpm.history, 2), NA()), NA())))</f>
        <v/>
      </c>
      <c r="AI2" s="18" t="str" cm="1">
        <f t="array" aca="1" ref="AI2" ca="1">IF(AI$1="", "", _xlfn.LET(_xlpm.history, _xlfn.STOCKHISTORY(AI$1, TODAY()-365, TODAY(), 0, 0, 0, 1),_xlfn.IFNA(_xlfn.XLOOKUP(_xlfn.ANCHORARRAY($A2), _xlfn.CHOOSECOLS(_xlpm.history, 1), _xlfn.CHOOSECOLS(_xlpm.history, 2), NA()), NA())))</f>
        <v/>
      </c>
      <c r="AJ2" s="18" t="str" cm="1">
        <f t="array" aca="1" ref="AJ2" ca="1">IF(AJ$1="", "", _xlfn.LET(_xlpm.history, _xlfn.STOCKHISTORY(AJ$1, TODAY()-365, TODAY(), 0, 0, 0, 1),_xlfn.IFNA(_xlfn.XLOOKUP(_xlfn.ANCHORARRAY($A2), _xlfn.CHOOSECOLS(_xlpm.history, 1), _xlfn.CHOOSECOLS(_xlpm.history, 2), NA()), NA())))</f>
        <v/>
      </c>
      <c r="AK2" s="18" t="str" cm="1">
        <f t="array" aca="1" ref="AK2" ca="1">IF(AK$1="", "", _xlfn.LET(_xlpm.history, _xlfn.STOCKHISTORY(AK$1, TODAY()-365, TODAY(), 0, 0, 0, 1),_xlfn.IFNA(_xlfn.XLOOKUP(_xlfn.ANCHORARRAY($A2), _xlfn.CHOOSECOLS(_xlpm.history, 1), _xlfn.CHOOSECOLS(_xlpm.history, 2), NA()), NA())))</f>
        <v/>
      </c>
      <c r="AL2" s="18" t="str" cm="1">
        <f t="array" aca="1" ref="AL2" ca="1">IF(AL$1="", "", _xlfn.LET(_xlpm.history, _xlfn.STOCKHISTORY(AL$1, TODAY()-365, TODAY(), 0, 0, 0, 1),_xlfn.IFNA(_xlfn.XLOOKUP(_xlfn.ANCHORARRAY($A2), _xlfn.CHOOSECOLS(_xlpm.history, 1), _xlfn.CHOOSECOLS(_xlpm.history, 2), NA()), NA())))</f>
        <v/>
      </c>
      <c r="AM2" s="18" t="str" cm="1">
        <f t="array" aca="1" ref="AM2" ca="1">IF(AM$1="", "", _xlfn.LET(_xlpm.history, _xlfn.STOCKHISTORY(AM$1, TODAY()-365, TODAY(), 0, 0, 0, 1),_xlfn.IFNA(_xlfn.XLOOKUP(_xlfn.ANCHORARRAY($A2), _xlfn.CHOOSECOLS(_xlpm.history, 1), _xlfn.CHOOSECOLS(_xlpm.history, 2), NA()), NA())))</f>
        <v/>
      </c>
      <c r="AN2" s="18" t="str" cm="1">
        <f t="array" aca="1" ref="AN2" ca="1">IF(AN$1="", "", _xlfn.LET(_xlpm.history, _xlfn.STOCKHISTORY(AN$1, TODAY()-365, TODAY(), 0, 0, 0, 1),_xlfn.IFNA(_xlfn.XLOOKUP(_xlfn.ANCHORARRAY($A2), _xlfn.CHOOSECOLS(_xlpm.history, 1), _xlfn.CHOOSECOLS(_xlpm.history, 2), NA()), NA())))</f>
        <v/>
      </c>
      <c r="AO2" s="18" t="str" cm="1">
        <f t="array" aca="1" ref="AO2" ca="1">IF(AO$1="", "", _xlfn.LET(_xlpm.history, _xlfn.STOCKHISTORY(AO$1, TODAY()-365, TODAY(), 0, 0, 0, 1),_xlfn.IFNA(_xlfn.XLOOKUP(_xlfn.ANCHORARRAY($A2), _xlfn.CHOOSECOLS(_xlpm.history, 1), _xlfn.CHOOSECOLS(_xlpm.history, 2), NA()), NA())))</f>
        <v/>
      </c>
      <c r="AP2" s="18" t="str" cm="1">
        <f t="array" aca="1" ref="AP2" ca="1">IF(AP$1="", "", _xlfn.LET(_xlpm.history, _xlfn.STOCKHISTORY(AP$1, TODAY()-365, TODAY(), 0, 0, 0, 1),_xlfn.IFNA(_xlfn.XLOOKUP(_xlfn.ANCHORARRAY($A2), _xlfn.CHOOSECOLS(_xlpm.history, 1), _xlfn.CHOOSECOLS(_xlpm.history, 2), NA()), NA())))</f>
        <v/>
      </c>
      <c r="AQ2" s="18" t="str" cm="1">
        <f t="array" aca="1" ref="AQ2" ca="1">IF(AQ$1="", "", _xlfn.LET(_xlpm.history, _xlfn.STOCKHISTORY(AQ$1, TODAY()-365, TODAY(), 0, 0, 0, 1),_xlfn.IFNA(_xlfn.XLOOKUP(_xlfn.ANCHORARRAY($A2), _xlfn.CHOOSECOLS(_xlpm.history, 1), _xlfn.CHOOSECOLS(_xlpm.history, 2), NA()), NA())))</f>
        <v/>
      </c>
      <c r="AR2" s="18" t="str" cm="1">
        <f t="array" aca="1" ref="AR2" ca="1">IF(AR$1="", "", _xlfn.LET(_xlpm.history, _xlfn.STOCKHISTORY(AR$1, TODAY()-365, TODAY(), 0, 0, 0, 1),_xlfn.IFNA(_xlfn.XLOOKUP(_xlfn.ANCHORARRAY($A2), _xlfn.CHOOSECOLS(_xlpm.history, 1), _xlfn.CHOOSECOLS(_xlpm.history, 2), NA()), NA())))</f>
        <v/>
      </c>
      <c r="AS2" s="18" t="str" cm="1">
        <f t="array" aca="1" ref="AS2" ca="1">IF(AS$1="", "", _xlfn.LET(_xlpm.history, _xlfn.STOCKHISTORY(AS$1, TODAY()-365, TODAY(), 0, 0, 0, 1),_xlfn.IFNA(_xlfn.XLOOKUP(_xlfn.ANCHORARRAY($A2), _xlfn.CHOOSECOLS(_xlpm.history, 1), _xlfn.CHOOSECOLS(_xlpm.history, 2), NA()), NA())))</f>
        <v/>
      </c>
      <c r="AT2" s="18" t="str" cm="1">
        <f t="array" aca="1" ref="AT2" ca="1">IF(AT$1="", "", _xlfn.LET(_xlpm.history, _xlfn.STOCKHISTORY(AT$1, TODAY()-365, TODAY(), 0, 0, 0, 1),_xlfn.IFNA(_xlfn.XLOOKUP(_xlfn.ANCHORARRAY($A2), _xlfn.CHOOSECOLS(_xlpm.history, 1), _xlfn.CHOOSECOLS(_xlpm.history, 2), NA()), NA())))</f>
        <v/>
      </c>
      <c r="AU2" s="18" t="str" cm="1">
        <f t="array" aca="1" ref="AU2" ca="1">IF(AU$1="", "", _xlfn.LET(_xlpm.history, _xlfn.STOCKHISTORY(AU$1, TODAY()-365, TODAY(), 0, 0, 0, 1),_xlfn.IFNA(_xlfn.XLOOKUP(_xlfn.ANCHORARRAY($A2), _xlfn.CHOOSECOLS(_xlpm.history, 1), _xlfn.CHOOSECOLS(_xlpm.history, 2), NA()), NA())))</f>
        <v/>
      </c>
      <c r="AV2" s="18" t="str" cm="1">
        <f t="array" aca="1" ref="AV2" ca="1">IF(AV$1="", "", _xlfn.LET(_xlpm.history, _xlfn.STOCKHISTORY(AV$1, TODAY()-365, TODAY(), 0, 0, 0, 1),_xlfn.IFNA(_xlfn.XLOOKUP(_xlfn.ANCHORARRAY($A2), _xlfn.CHOOSECOLS(_xlpm.history, 1), _xlfn.CHOOSECOLS(_xlpm.history, 2), NA()), NA())))</f>
        <v/>
      </c>
      <c r="AW2" s="18" t="str" cm="1">
        <f t="array" aca="1" ref="AW2" ca="1">IF(AW$1="", "", _xlfn.LET(_xlpm.history, _xlfn.STOCKHISTORY(AW$1, TODAY()-365, TODAY(), 0, 0, 0, 1),_xlfn.IFNA(_xlfn.XLOOKUP(_xlfn.ANCHORARRAY($A2), _xlfn.CHOOSECOLS(_xlpm.history, 1), _xlfn.CHOOSECOLS(_xlpm.history, 2), NA()), NA())))</f>
        <v/>
      </c>
      <c r="AX2" s="18" t="str" cm="1">
        <f t="array" aca="1" ref="AX2" ca="1">IF(AX$1="", "", _xlfn.LET(_xlpm.history, _xlfn.STOCKHISTORY(AX$1, TODAY()-365, TODAY(), 0, 0, 0, 1),_xlfn.IFNA(_xlfn.XLOOKUP(_xlfn.ANCHORARRAY($A2), _xlfn.CHOOSECOLS(_xlpm.history, 1), _xlfn.CHOOSECOLS(_xlpm.history, 2), NA()), NA())))</f>
        <v/>
      </c>
      <c r="AY2" s="18" t="str" cm="1">
        <f t="array" aca="1" ref="AY2" ca="1">IF(AY$1="", "", _xlfn.LET(_xlpm.history, _xlfn.STOCKHISTORY(AY$1, TODAY()-365, TODAY(), 0, 0, 0, 1),_xlfn.IFNA(_xlfn.XLOOKUP(_xlfn.ANCHORARRAY($A2), _xlfn.CHOOSECOLS(_xlpm.history, 1), _xlfn.CHOOSECOLS(_xlpm.history, 2), NA()), NA())))</f>
        <v/>
      </c>
      <c r="AZ2" s="18" t="str" cm="1">
        <f t="array" aca="1" ref="AZ2" ca="1">IF(AZ$1="", "", _xlfn.LET(_xlpm.history, _xlfn.STOCKHISTORY(AZ$1, TODAY()-365, TODAY(), 0, 0, 0, 1),_xlfn.IFNA(_xlfn.XLOOKUP(_xlfn.ANCHORARRAY($A2), _xlfn.CHOOSECOLS(_xlpm.history, 1), _xlfn.CHOOSECOLS(_xlpm.history, 2), NA()), NA())))</f>
        <v/>
      </c>
      <c r="BA2" s="18" t="str" cm="1">
        <f t="array" aca="1" ref="BA2" ca="1">IF(BA$1="", "", _xlfn.LET(_xlpm.history, _xlfn.STOCKHISTORY(BA$1, TODAY()-365, TODAY(), 0, 0, 0, 1),_xlfn.IFNA(_xlfn.XLOOKUP(_xlfn.ANCHORARRAY($A2), _xlfn.CHOOSECOLS(_xlpm.history, 1), _xlfn.CHOOSECOLS(_xlpm.history, 2), NA()), NA())))</f>
        <v/>
      </c>
      <c r="BB2" s="18" t="str" cm="1">
        <f t="array" aca="1" ref="BB2" ca="1">IF(BB$1="", "", _xlfn.LET(_xlpm.history, _xlfn.STOCKHISTORY(BB$1, TODAY()-365, TODAY(), 0, 0, 0, 1),_xlfn.IFNA(_xlfn.XLOOKUP(_xlfn.ANCHORARRAY($A2), _xlfn.CHOOSECOLS(_xlpm.history, 1), _xlfn.CHOOSECOLS(_xlpm.history, 2), NA()), NA())))</f>
        <v/>
      </c>
      <c r="BC2" s="18" t="str" cm="1">
        <f t="array" aca="1" ref="BC2" ca="1">IF(BC$1="", "", _xlfn.LET(_xlpm.history, _xlfn.STOCKHISTORY(BC$1, TODAY()-365, TODAY(), 0, 0, 0, 1),_xlfn.IFNA(_xlfn.XLOOKUP(_xlfn.ANCHORARRAY($A2), _xlfn.CHOOSECOLS(_xlpm.history, 1), _xlfn.CHOOSECOLS(_xlpm.history, 2), NA()), NA())))</f>
        <v/>
      </c>
      <c r="BD2" s="18" t="str" cm="1">
        <f t="array" aca="1" ref="BD2" ca="1">IF(BD$1="", "", _xlfn.LET(_xlpm.history, _xlfn.STOCKHISTORY(BD$1, TODAY()-365, TODAY(), 0, 0, 0, 1),_xlfn.IFNA(_xlfn.XLOOKUP(_xlfn.ANCHORARRAY($A2), _xlfn.CHOOSECOLS(_xlpm.history, 1), _xlfn.CHOOSECOLS(_xlpm.history, 2), NA()), NA())))</f>
        <v/>
      </c>
      <c r="BE2" s="18" t="str" cm="1">
        <f t="array" aca="1" ref="BE2" ca="1">IF(BE$1="", "", _xlfn.LET(_xlpm.history, _xlfn.STOCKHISTORY(BE$1, TODAY()-365, TODAY(), 0, 0, 0, 1),_xlfn.IFNA(_xlfn.XLOOKUP(_xlfn.ANCHORARRAY($A2), _xlfn.CHOOSECOLS(_xlpm.history, 1), _xlfn.CHOOSECOLS(_xlpm.history, 2), NA()), NA())))</f>
        <v/>
      </c>
      <c r="BF2" s="18" t="str" cm="1">
        <f t="array" aca="1" ref="BF2" ca="1">IF(BF$1="", "", _xlfn.LET(_xlpm.history, _xlfn.STOCKHISTORY(BF$1, TODAY()-365, TODAY(), 0, 0, 0, 1),_xlfn.IFNA(_xlfn.XLOOKUP(_xlfn.ANCHORARRAY($A2), _xlfn.CHOOSECOLS(_xlpm.history, 1), _xlfn.CHOOSECOLS(_xlpm.history, 2), NA()), NA())))</f>
        <v/>
      </c>
      <c r="BG2" s="18" t="str" cm="1">
        <f t="array" aca="1" ref="BG2" ca="1">IF(BG$1="", "", _xlfn.LET(_xlpm.history, _xlfn.STOCKHISTORY(BG$1, TODAY()-365, TODAY(), 0, 0, 0, 1),_xlfn.IFNA(_xlfn.XLOOKUP(_xlfn.ANCHORARRAY($A2), _xlfn.CHOOSECOLS(_xlpm.history, 1), _xlfn.CHOOSECOLS(_xlpm.history, 2), NA()), NA())))</f>
        <v/>
      </c>
      <c r="BH2" s="18" t="str" cm="1">
        <f t="array" aca="1" ref="BH2" ca="1">IF(BH$1="", "", _xlfn.LET(_xlpm.history, _xlfn.STOCKHISTORY(BH$1, TODAY()-365, TODAY(), 0, 0, 0, 1),_xlfn.IFNA(_xlfn.XLOOKUP(_xlfn.ANCHORARRAY($A2), _xlfn.CHOOSECOLS(_xlpm.history, 1), _xlfn.CHOOSECOLS(_xlpm.history, 2), NA()), NA())))</f>
        <v/>
      </c>
      <c r="BI2" s="18" t="str" cm="1">
        <f t="array" aca="1" ref="BI2" ca="1">IF(BI$1="", "", _xlfn.LET(_xlpm.history, _xlfn.STOCKHISTORY(BI$1, TODAY()-365, TODAY(), 0, 0, 0, 1),_xlfn.IFNA(_xlfn.XLOOKUP(_xlfn.ANCHORARRAY($A2), _xlfn.CHOOSECOLS(_xlpm.history, 1), _xlfn.CHOOSECOLS(_xlpm.history, 2), NA()), NA())))</f>
        <v/>
      </c>
      <c r="BJ2" s="18" t="str" cm="1">
        <f t="array" aca="1" ref="BJ2" ca="1">IF(BJ$1="", "", _xlfn.LET(_xlpm.history, _xlfn.STOCKHISTORY(BJ$1, TODAY()-365, TODAY(), 0, 0, 0, 1),_xlfn.IFNA(_xlfn.XLOOKUP(_xlfn.ANCHORARRAY($A2), _xlfn.CHOOSECOLS(_xlpm.history, 1), _xlfn.CHOOSECOLS(_xlpm.history, 2), NA()), NA())))</f>
        <v/>
      </c>
      <c r="BK2" s="18" t="str" cm="1">
        <f t="array" aca="1" ref="BK2" ca="1">IF(BK$1="", "", _xlfn.LET(_xlpm.history, _xlfn.STOCKHISTORY(BK$1, TODAY()-365, TODAY(), 0, 0, 0, 1),_xlfn.IFNA(_xlfn.XLOOKUP(_xlfn.ANCHORARRAY($A2), _xlfn.CHOOSECOLS(_xlpm.history, 1), _xlfn.CHOOSECOLS(_xlpm.history, 2), NA()), NA())))</f>
        <v/>
      </c>
      <c r="BL2" s="18" t="str" cm="1">
        <f t="array" aca="1" ref="BL2" ca="1">IF(BL$1="", "", _xlfn.LET(_xlpm.history, _xlfn.STOCKHISTORY(BL$1, TODAY()-365, TODAY(), 0, 0, 0, 1),_xlfn.IFNA(_xlfn.XLOOKUP(_xlfn.ANCHORARRAY($A2), _xlfn.CHOOSECOLS(_xlpm.history, 1), _xlfn.CHOOSECOLS(_xlpm.history, 2), NA()), NA())))</f>
        <v/>
      </c>
      <c r="BM2" s="18" t="str" cm="1">
        <f t="array" aca="1" ref="BM2" ca="1">IF(BM$1="", "", _xlfn.LET(_xlpm.history, _xlfn.STOCKHISTORY(BM$1, TODAY()-365, TODAY(), 0, 0, 0, 1),_xlfn.IFNA(_xlfn.XLOOKUP(_xlfn.ANCHORARRAY($A2), _xlfn.CHOOSECOLS(_xlpm.history, 1), _xlfn.CHOOSECOLS(_xlpm.history, 2), NA()), NA())))</f>
        <v/>
      </c>
      <c r="BN2" s="18" t="str" cm="1">
        <f t="array" aca="1" ref="BN2" ca="1">IF(BN$1="", "", _xlfn.LET(_xlpm.history, _xlfn.STOCKHISTORY(BN$1, TODAY()-365, TODAY(), 0, 0, 0, 1),_xlfn.IFNA(_xlfn.XLOOKUP(_xlfn.ANCHORARRAY($A2), _xlfn.CHOOSECOLS(_xlpm.history, 1), _xlfn.CHOOSECOLS(_xlpm.history, 2), NA()), NA())))</f>
        <v/>
      </c>
      <c r="BO2" s="18" t="str" cm="1">
        <f t="array" aca="1" ref="BO2" ca="1">IF(BO$1="", "", _xlfn.LET(_xlpm.history, _xlfn.STOCKHISTORY(BO$1, TODAY()-365, TODAY(), 0, 0, 0, 1),_xlfn.IFNA(_xlfn.XLOOKUP(_xlfn.ANCHORARRAY($A2), _xlfn.CHOOSECOLS(_xlpm.history, 1), _xlfn.CHOOSECOLS(_xlpm.history, 2), NA()), NA())))</f>
        <v/>
      </c>
      <c r="BP2" s="18" t="str" cm="1">
        <f t="array" aca="1" ref="BP2" ca="1">IF(BP$1="", "", _xlfn.LET(_xlpm.history, _xlfn.STOCKHISTORY(BP$1, TODAY()-365, TODAY(), 0, 0, 0, 1),_xlfn.IFNA(_xlfn.XLOOKUP(_xlfn.ANCHORARRAY($A2), _xlfn.CHOOSECOLS(_xlpm.history, 1), _xlfn.CHOOSECOLS(_xlpm.history, 2), NA()), NA())))</f>
        <v/>
      </c>
      <c r="BQ2" s="18" t="str" cm="1">
        <f t="array" aca="1" ref="BQ2" ca="1">IF(BQ$1="", "", _xlfn.LET(_xlpm.history, _xlfn.STOCKHISTORY(BQ$1, TODAY()-365, TODAY(), 0, 0, 0, 1),_xlfn.IFNA(_xlfn.XLOOKUP(_xlfn.ANCHORARRAY($A2), _xlfn.CHOOSECOLS(_xlpm.history, 1), _xlfn.CHOOSECOLS(_xlpm.history, 2), NA()), NA())))</f>
        <v/>
      </c>
      <c r="BR2" s="18" t="str" cm="1">
        <f t="array" aca="1" ref="BR2" ca="1">IF(BR$1="", "", _xlfn.LET(_xlpm.history, _xlfn.STOCKHISTORY(BR$1, TODAY()-365, TODAY(), 0, 0, 0, 1),_xlfn.IFNA(_xlfn.XLOOKUP(_xlfn.ANCHORARRAY($A2), _xlfn.CHOOSECOLS(_xlpm.history, 1), _xlfn.CHOOSECOLS(_xlpm.history, 2), NA()), NA())))</f>
        <v/>
      </c>
      <c r="BS2" s="18" t="str" cm="1">
        <f t="array" aca="1" ref="BS2" ca="1">IF(BS$1="", "", _xlfn.LET(_xlpm.history, _xlfn.STOCKHISTORY(BS$1, TODAY()-365, TODAY(), 0, 0, 0, 1),_xlfn.IFNA(_xlfn.XLOOKUP(_xlfn.ANCHORARRAY($A2), _xlfn.CHOOSECOLS(_xlpm.history, 1), _xlfn.CHOOSECOLS(_xlpm.history, 2), NA()), NA())))</f>
        <v/>
      </c>
      <c r="BT2" s="18" t="str" cm="1">
        <f t="array" aca="1" ref="BT2" ca="1">IF(BT$1="", "", _xlfn.LET(_xlpm.history, _xlfn.STOCKHISTORY(BT$1, TODAY()-365, TODAY(), 0, 0, 0, 1),_xlfn.IFNA(_xlfn.XLOOKUP(_xlfn.ANCHORARRAY($A2), _xlfn.CHOOSECOLS(_xlpm.history, 1), _xlfn.CHOOSECOLS(_xlpm.history, 2), NA()), NA())))</f>
        <v/>
      </c>
      <c r="BU2" s="18" t="str" cm="1">
        <f t="array" aca="1" ref="BU2" ca="1">IF(BU$1="", "", _xlfn.LET(_xlpm.history, _xlfn.STOCKHISTORY(BU$1, TODAY()-365, TODAY(), 0, 0, 0, 1),_xlfn.IFNA(_xlfn.XLOOKUP(_xlfn.ANCHORARRAY($A2), _xlfn.CHOOSECOLS(_xlpm.history, 1), _xlfn.CHOOSECOLS(_xlpm.history, 2), NA()), NA())))</f>
        <v/>
      </c>
      <c r="BV2" s="18" t="str" cm="1">
        <f t="array" aca="1" ref="BV2" ca="1">IF(BV$1="", "", _xlfn.LET(_xlpm.history, _xlfn.STOCKHISTORY(BV$1, TODAY()-365, TODAY(), 0, 0, 0, 1),_xlfn.IFNA(_xlfn.XLOOKUP(_xlfn.ANCHORARRAY($A2), _xlfn.CHOOSECOLS(_xlpm.history, 1), _xlfn.CHOOSECOLS(_xlpm.history, 2), NA()), NA())))</f>
        <v/>
      </c>
      <c r="BW2" s="18" t="str" cm="1">
        <f t="array" aca="1" ref="BW2" ca="1">IF(BW$1="", "", _xlfn.LET(_xlpm.history, _xlfn.STOCKHISTORY(BW$1, TODAY()-365, TODAY(), 0, 0, 0, 1),_xlfn.IFNA(_xlfn.XLOOKUP(_xlfn.ANCHORARRAY($A2), _xlfn.CHOOSECOLS(_xlpm.history, 1), _xlfn.CHOOSECOLS(_xlpm.history, 2), NA()), NA())))</f>
        <v/>
      </c>
      <c r="BX2" s="18" t="str" cm="1">
        <f t="array" aca="1" ref="BX2" ca="1">IF(BX$1="", "", _xlfn.LET(_xlpm.history, _xlfn.STOCKHISTORY(BX$1, TODAY()-365, TODAY(), 0, 0, 0, 1),_xlfn.IFNA(_xlfn.XLOOKUP(_xlfn.ANCHORARRAY($A2), _xlfn.CHOOSECOLS(_xlpm.history, 1), _xlfn.CHOOSECOLS(_xlpm.history, 2), NA()), NA())))</f>
        <v/>
      </c>
      <c r="BY2" s="18" t="str" cm="1">
        <f t="array" aca="1" ref="BY2" ca="1">IF(BY$1="", "", _xlfn.LET(_xlpm.history, _xlfn.STOCKHISTORY(BY$1, TODAY()-365, TODAY(), 0, 0, 0, 1),_xlfn.IFNA(_xlfn.XLOOKUP(_xlfn.ANCHORARRAY($A2), _xlfn.CHOOSECOLS(_xlpm.history, 1), _xlfn.CHOOSECOLS(_xlpm.history, 2), NA()), NA())))</f>
        <v/>
      </c>
      <c r="BZ2" s="18" t="str" cm="1">
        <f t="array" aca="1" ref="BZ2" ca="1">IF(BZ$1="", "", _xlfn.LET(_xlpm.history, _xlfn.STOCKHISTORY(BZ$1, TODAY()-365, TODAY(), 0, 0, 0, 1),_xlfn.IFNA(_xlfn.XLOOKUP(_xlfn.ANCHORARRAY($A2), _xlfn.CHOOSECOLS(_xlpm.history, 1), _xlfn.CHOOSECOLS(_xlpm.history, 2), NA()), NA())))</f>
        <v/>
      </c>
      <c r="CA2" s="18" t="str" cm="1">
        <f t="array" aca="1" ref="CA2" ca="1">IF(CA$1="", "", _xlfn.LET(_xlpm.history, _xlfn.STOCKHISTORY(CA$1, TODAY()-365, TODAY(), 0, 0, 0, 1),_xlfn.IFNA(_xlfn.XLOOKUP(_xlfn.ANCHORARRAY($A2), _xlfn.CHOOSECOLS(_xlpm.history, 1), _xlfn.CHOOSECOLS(_xlpm.history, 2), NA()), NA())))</f>
        <v/>
      </c>
      <c r="CB2" s="18" t="str" cm="1">
        <f t="array" aca="1" ref="CB2" ca="1">IF(CB$1="", "", _xlfn.LET(_xlpm.history, _xlfn.STOCKHISTORY(CB$1, TODAY()-365, TODAY(), 0, 0, 0, 1),_xlfn.IFNA(_xlfn.XLOOKUP(_xlfn.ANCHORARRAY($A2), _xlfn.CHOOSECOLS(_xlpm.history, 1), _xlfn.CHOOSECOLS(_xlpm.history, 2), NA()), NA())))</f>
        <v/>
      </c>
      <c r="CC2" s="18" t="str" cm="1">
        <f t="array" aca="1" ref="CC2" ca="1">IF(CC$1="", "", _xlfn.LET(_xlpm.history, _xlfn.STOCKHISTORY(CC$1, TODAY()-365, TODAY(), 0, 0, 0, 1),_xlfn.IFNA(_xlfn.XLOOKUP(_xlfn.ANCHORARRAY($A2), _xlfn.CHOOSECOLS(_xlpm.history, 1), _xlfn.CHOOSECOLS(_xlpm.history, 2), NA()), NA())))</f>
        <v/>
      </c>
      <c r="CD2" s="18" t="str" cm="1">
        <f t="array" aca="1" ref="CD2" ca="1">IF(CD$1="", "", _xlfn.LET(_xlpm.history, _xlfn.STOCKHISTORY(CD$1, TODAY()-365, TODAY(), 0, 0, 0, 1),_xlfn.IFNA(_xlfn.XLOOKUP(_xlfn.ANCHORARRAY($A2), _xlfn.CHOOSECOLS(_xlpm.history, 1), _xlfn.CHOOSECOLS(_xlpm.history, 2), NA()), NA())))</f>
        <v/>
      </c>
      <c r="CE2" s="18" t="str" cm="1">
        <f t="array" aca="1" ref="CE2" ca="1">IF(CE$1="", "", _xlfn.LET(_xlpm.history, _xlfn.STOCKHISTORY(CE$1, TODAY()-365, TODAY(), 0, 0, 0, 1),_xlfn.IFNA(_xlfn.XLOOKUP(_xlfn.ANCHORARRAY($A2), _xlfn.CHOOSECOLS(_xlpm.history, 1), _xlfn.CHOOSECOLS(_xlpm.history, 2), NA()), NA())))</f>
        <v/>
      </c>
      <c r="CF2" s="18" t="str" cm="1">
        <f t="array" aca="1" ref="CF2" ca="1">IF(CF$1="", "", _xlfn.LET(_xlpm.history, _xlfn.STOCKHISTORY(CF$1, TODAY()-365, TODAY(), 0, 0, 0, 1),_xlfn.IFNA(_xlfn.XLOOKUP(_xlfn.ANCHORARRAY($A2), _xlfn.CHOOSECOLS(_xlpm.history, 1), _xlfn.CHOOSECOLS(_xlpm.history, 2), NA()), NA())))</f>
        <v/>
      </c>
      <c r="CG2" s="18" t="str" cm="1">
        <f t="array" aca="1" ref="CG2" ca="1">IF(CG$1="", "", _xlfn.LET(_xlpm.history, _xlfn.STOCKHISTORY(CG$1, TODAY()-365, TODAY(), 0, 0, 0, 1),_xlfn.IFNA(_xlfn.XLOOKUP(_xlfn.ANCHORARRAY($A2), _xlfn.CHOOSECOLS(_xlpm.history, 1), _xlfn.CHOOSECOLS(_xlpm.history, 2), NA()), NA())))</f>
        <v/>
      </c>
      <c r="CH2" s="18" t="str" cm="1">
        <f t="array" aca="1" ref="CH2" ca="1">IF(CH$1="", "", _xlfn.LET(_xlpm.history, _xlfn.STOCKHISTORY(CH$1, TODAY()-365, TODAY(), 0, 0, 0, 1),_xlfn.IFNA(_xlfn.XLOOKUP(_xlfn.ANCHORARRAY($A2), _xlfn.CHOOSECOLS(_xlpm.history, 1), _xlfn.CHOOSECOLS(_xlpm.history, 2), NA()), NA())))</f>
        <v/>
      </c>
      <c r="CI2" s="18" t="str" cm="1">
        <f t="array" aca="1" ref="CI2" ca="1">IF(CI$1="", "", _xlfn.LET(_xlpm.history, _xlfn.STOCKHISTORY(CI$1, TODAY()-365, TODAY(), 0, 0, 0, 1),_xlfn.IFNA(_xlfn.XLOOKUP(_xlfn.ANCHORARRAY($A2), _xlfn.CHOOSECOLS(_xlpm.history, 1), _xlfn.CHOOSECOLS(_xlpm.history, 2), NA()), NA())))</f>
        <v/>
      </c>
      <c r="CJ2" s="18" t="str" cm="1">
        <f t="array" aca="1" ref="CJ2" ca="1">IF(CJ$1="", "", _xlfn.LET(_xlpm.history, _xlfn.STOCKHISTORY(CJ$1, TODAY()-365, TODAY(), 0, 0, 0, 1),_xlfn.IFNA(_xlfn.XLOOKUP(_xlfn.ANCHORARRAY($A2), _xlfn.CHOOSECOLS(_xlpm.history, 1), _xlfn.CHOOSECOLS(_xlpm.history, 2), NA()), NA())))</f>
        <v/>
      </c>
      <c r="CK2" s="18" t="str" cm="1">
        <f t="array" aca="1" ref="CK2" ca="1">IF(CK$1="", "", _xlfn.LET(_xlpm.history, _xlfn.STOCKHISTORY(CK$1, TODAY()-365, TODAY(), 0, 0, 0, 1),_xlfn.IFNA(_xlfn.XLOOKUP(_xlfn.ANCHORARRAY($A2), _xlfn.CHOOSECOLS(_xlpm.history, 1), _xlfn.CHOOSECOLS(_xlpm.history, 2), NA()), NA())))</f>
        <v/>
      </c>
      <c r="CL2" s="18" t="str" cm="1">
        <f t="array" aca="1" ref="CL2" ca="1">IF(CL$1="", "", _xlfn.LET(_xlpm.history, _xlfn.STOCKHISTORY(CL$1, TODAY()-365, TODAY(), 0, 0, 0, 1),_xlfn.IFNA(_xlfn.XLOOKUP(_xlfn.ANCHORARRAY($A2), _xlfn.CHOOSECOLS(_xlpm.history, 1), _xlfn.CHOOSECOLS(_xlpm.history, 2), NA()), NA())))</f>
        <v/>
      </c>
      <c r="CM2" s="18" t="str" cm="1">
        <f t="array" aca="1" ref="CM2" ca="1">IF(CM$1="", "", _xlfn.LET(_xlpm.history, _xlfn.STOCKHISTORY(CM$1, TODAY()-365, TODAY(), 0, 0, 0, 1),_xlfn.IFNA(_xlfn.XLOOKUP(_xlfn.ANCHORARRAY($A2), _xlfn.CHOOSECOLS(_xlpm.history, 1), _xlfn.CHOOSECOLS(_xlpm.history, 2), NA()), NA())))</f>
        <v/>
      </c>
      <c r="CN2" s="18" t="str" cm="1">
        <f t="array" aca="1" ref="CN2" ca="1">IF(CN$1="", "", _xlfn.LET(_xlpm.history, _xlfn.STOCKHISTORY(CN$1, TODAY()-365, TODAY(), 0, 0, 0, 1),_xlfn.IFNA(_xlfn.XLOOKUP(_xlfn.ANCHORARRAY($A2), _xlfn.CHOOSECOLS(_xlpm.history, 1), _xlfn.CHOOSECOLS(_xlpm.history, 2), NA()), NA())))</f>
        <v/>
      </c>
      <c r="CO2" s="18" t="str" cm="1">
        <f t="array" aca="1" ref="CO2" ca="1">IF(CO$1="", "", _xlfn.LET(_xlpm.history, _xlfn.STOCKHISTORY(CO$1, TODAY()-365, TODAY(), 0, 0, 0, 1),_xlfn.IFNA(_xlfn.XLOOKUP(_xlfn.ANCHORARRAY($A2), _xlfn.CHOOSECOLS(_xlpm.history, 1), _xlfn.CHOOSECOLS(_xlpm.history, 2), NA()), NA())))</f>
        <v/>
      </c>
      <c r="CP2" s="18" t="str" cm="1">
        <f t="array" aca="1" ref="CP2" ca="1">IF(CP$1="", "", _xlfn.LET(_xlpm.history, _xlfn.STOCKHISTORY(CP$1, TODAY()-365, TODAY(), 0, 0, 0, 1),_xlfn.IFNA(_xlfn.XLOOKUP(_xlfn.ANCHORARRAY($A2), _xlfn.CHOOSECOLS(_xlpm.history, 1), _xlfn.CHOOSECOLS(_xlpm.history, 2), NA()), NA())))</f>
        <v/>
      </c>
      <c r="CQ2" s="18" t="str" cm="1">
        <f t="array" aca="1" ref="CQ2" ca="1">IF(CQ$1="", "", _xlfn.LET(_xlpm.history, _xlfn.STOCKHISTORY(CQ$1, TODAY()-365, TODAY(), 0, 0, 0, 1),_xlfn.IFNA(_xlfn.XLOOKUP(_xlfn.ANCHORARRAY($A2), _xlfn.CHOOSECOLS(_xlpm.history, 1), _xlfn.CHOOSECOLS(_xlpm.history, 2), NA()), NA())))</f>
        <v/>
      </c>
      <c r="CR2" s="18" t="str" cm="1">
        <f t="array" aca="1" ref="CR2" ca="1">IF(CR$1="", "", _xlfn.LET(_xlpm.history, _xlfn.STOCKHISTORY(CR$1, TODAY()-365, TODAY(), 0, 0, 0, 1),_xlfn.IFNA(_xlfn.XLOOKUP(_xlfn.ANCHORARRAY($A2), _xlfn.CHOOSECOLS(_xlpm.history, 1), _xlfn.CHOOSECOLS(_xlpm.history, 2), NA()), NA())))</f>
        <v/>
      </c>
      <c r="CS2" s="18" t="str" cm="1">
        <f t="array" aca="1" ref="CS2" ca="1">IF(CS$1="", "", _xlfn.LET(_xlpm.history, _xlfn.STOCKHISTORY(CS$1, TODAY()-365, TODAY(), 0, 0, 0, 1),_xlfn.IFNA(_xlfn.XLOOKUP(_xlfn.ANCHORARRAY($A2), _xlfn.CHOOSECOLS(_xlpm.history, 1), _xlfn.CHOOSECOLS(_xlpm.history, 2), NA()), NA())))</f>
        <v/>
      </c>
      <c r="CT2" s="18" t="str" cm="1">
        <f t="array" aca="1" ref="CT2" ca="1">IF(CT$1="", "", _xlfn.LET(_xlpm.history, _xlfn.STOCKHISTORY(CT$1, TODAY()-365, TODAY(), 0, 0, 0, 1),_xlfn.IFNA(_xlfn.XLOOKUP(_xlfn.ANCHORARRAY($A2), _xlfn.CHOOSECOLS(_xlpm.history, 1), _xlfn.CHOOSECOLS(_xlpm.history, 2), NA()), NA())))</f>
        <v/>
      </c>
      <c r="CU2" s="18" t="str" cm="1">
        <f t="array" aca="1" ref="CU2" ca="1">IF(CU$1="", "", _xlfn.LET(_xlpm.history, _xlfn.STOCKHISTORY(CU$1, TODAY()-365, TODAY(), 0, 0, 0, 1),_xlfn.IFNA(_xlfn.XLOOKUP(_xlfn.ANCHORARRAY($A2), _xlfn.CHOOSECOLS(_xlpm.history, 1), _xlfn.CHOOSECOLS(_xlpm.history, 2), NA()), NA())))</f>
        <v/>
      </c>
      <c r="CV2" s="18" t="str" cm="1">
        <f t="array" aca="1" ref="CV2" ca="1">IF(CV$1="", "", _xlfn.LET(_xlpm.history, _xlfn.STOCKHISTORY(CV$1, TODAY()-365, TODAY(), 0, 0, 0, 1),_xlfn.IFNA(_xlfn.XLOOKUP(_xlfn.ANCHORARRAY($A2), _xlfn.CHOOSECOLS(_xlpm.history, 1), _xlfn.CHOOSECOLS(_xlpm.history, 2), NA()), NA())))</f>
        <v/>
      </c>
      <c r="CW2" s="18" t="str" cm="1">
        <f t="array" aca="1" ref="CW2" ca="1">IF(CW$1="", "", _xlfn.LET(_xlpm.history, _xlfn.STOCKHISTORY(CW$1, TODAY()-365, TODAY(), 0, 0, 0, 1),_xlfn.IFNA(_xlfn.XLOOKUP(_xlfn.ANCHORARRAY($A2), _xlfn.CHOOSECOLS(_xlpm.history, 1), _xlfn.CHOOSECOLS(_xlpm.history, 2), NA()), NA())))</f>
        <v/>
      </c>
      <c r="CX2" s="18" t="str" cm="1">
        <f t="array" aca="1" ref="CX2" ca="1">IF(CX$1="", "", _xlfn.LET(_xlpm.history, _xlfn.STOCKHISTORY(CX$1, TODAY()-365, TODAY(), 0, 0, 0, 1),_xlfn.IFNA(_xlfn.XLOOKUP(_xlfn.ANCHORARRAY($A2), _xlfn.CHOOSECOLS(_xlpm.history, 1), _xlfn.CHOOSECOLS(_xlpm.history, 2), NA()), NA())))</f>
        <v/>
      </c>
      <c r="CY2" s="18" t="str" cm="1">
        <f t="array" aca="1" ref="CY2" ca="1">IF(CY$1="", "", _xlfn.LET(_xlpm.history, _xlfn.STOCKHISTORY(CY$1, TODAY()-365, TODAY(), 0, 0, 0, 1),_xlfn.IFNA(_xlfn.XLOOKUP(_xlfn.ANCHORARRAY($A2), _xlfn.CHOOSECOLS(_xlpm.history, 1), _xlfn.CHOOSECOLS(_xlpm.history, 2), NA()), NA())))</f>
        <v/>
      </c>
      <c r="CZ2" s="18" t="str" cm="1">
        <f t="array" aca="1" ref="CZ2" ca="1">IF(CZ$1="", "", _xlfn.LET(_xlpm.history, _xlfn.STOCKHISTORY(CZ$1, TODAY()-365, TODAY(), 0, 0, 0, 1),_xlfn.IFNA(_xlfn.XLOOKUP(_xlfn.ANCHORARRAY($A2), _xlfn.CHOOSECOLS(_xlpm.history, 1), _xlfn.CHOOSECOLS(_xlpm.history, 2), NA()), NA())))</f>
        <v/>
      </c>
      <c r="DA2" s="18" t="str" cm="1">
        <f t="array" aca="1" ref="DA2" ca="1">IF(DA$1="", "", _xlfn.LET(_xlpm.history, _xlfn.STOCKHISTORY(DA$1, TODAY()-365, TODAY(), 0, 0, 0, 1),_xlfn.IFNA(_xlfn.XLOOKUP(_xlfn.ANCHORARRAY($A2), _xlfn.CHOOSECOLS(_xlpm.history, 1), _xlfn.CHOOSECOLS(_xlpm.history, 2), NA()), NA())))</f>
        <v/>
      </c>
      <c r="DB2" s="18" t="str" cm="1">
        <f t="array" aca="1" ref="DB2" ca="1">IF(DB$1="", "", _xlfn.LET(_xlpm.history, _xlfn.STOCKHISTORY(DB$1, TODAY()-365, TODAY(), 0, 0, 0, 1),_xlfn.IFNA(_xlfn.XLOOKUP(_xlfn.ANCHORARRAY($A2), _xlfn.CHOOSECOLS(_xlpm.history, 1), _xlfn.CHOOSECOLS(_xlpm.history, 2), NA()), NA())))</f>
        <v/>
      </c>
      <c r="DC2" s="18" t="str" cm="1">
        <f t="array" aca="1" ref="DC2" ca="1">IF(DC$1="", "", _xlfn.LET(_xlpm.history, _xlfn.STOCKHISTORY(DC$1, TODAY()-365, TODAY(), 0, 0, 0, 1),_xlfn.IFNA(_xlfn.XLOOKUP(_xlfn.ANCHORARRAY($A2), _xlfn.CHOOSECOLS(_xlpm.history, 1), _xlfn.CHOOSECOLS(_xlpm.history, 2), NA()), NA())))</f>
        <v/>
      </c>
      <c r="DD2" s="18" t="str" cm="1">
        <f t="array" aca="1" ref="DD2" ca="1">IF(DD$1="", "", _xlfn.LET(_xlpm.history, _xlfn.STOCKHISTORY(DD$1, TODAY()-365, TODAY(), 0, 0, 0, 1),_xlfn.IFNA(_xlfn.XLOOKUP(_xlfn.ANCHORARRAY($A2), _xlfn.CHOOSECOLS(_xlpm.history, 1), _xlfn.CHOOSECOLS(_xlpm.history, 2), NA()), NA())))</f>
        <v/>
      </c>
      <c r="DE2" s="18" t="str" cm="1">
        <f t="array" aca="1" ref="DE2" ca="1">IF(DE$1="", "", _xlfn.LET(_xlpm.history, _xlfn.STOCKHISTORY(DE$1, TODAY()-365, TODAY(), 0, 0, 0, 1),_xlfn.IFNA(_xlfn.XLOOKUP(_xlfn.ANCHORARRAY($A2), _xlfn.CHOOSECOLS(_xlpm.history, 1), _xlfn.CHOOSECOLS(_xlpm.history, 2), NA()), NA())))</f>
        <v/>
      </c>
      <c r="DF2" s="18" t="str" cm="1">
        <f t="array" aca="1" ref="DF2" ca="1">IF(DF$1="", "", _xlfn.LET(_xlpm.history, _xlfn.STOCKHISTORY(DF$1, TODAY()-365, TODAY(), 0, 0, 0, 1),_xlfn.IFNA(_xlfn.XLOOKUP(_xlfn.ANCHORARRAY($A2), _xlfn.CHOOSECOLS(_xlpm.history, 1), _xlfn.CHOOSECOLS(_xlpm.history, 2), NA()), NA())))</f>
        <v/>
      </c>
      <c r="DG2" s="18" t="str" cm="1">
        <f t="array" aca="1" ref="DG2" ca="1">IF(DG$1="", "", _xlfn.LET(_xlpm.history, _xlfn.STOCKHISTORY(DG$1, TODAY()-365, TODAY(), 0, 0, 0, 1),_xlfn.IFNA(_xlfn.XLOOKUP(_xlfn.ANCHORARRAY($A2), _xlfn.CHOOSECOLS(_xlpm.history, 1), _xlfn.CHOOSECOLS(_xlpm.history, 2), NA()), NA())))</f>
        <v/>
      </c>
      <c r="DH2" s="18" t="str" cm="1">
        <f t="array" aca="1" ref="DH2" ca="1">IF(DH$1="", "", _xlfn.LET(_xlpm.history, _xlfn.STOCKHISTORY(DH$1, TODAY()-365, TODAY(), 0, 0, 0, 1),_xlfn.IFNA(_xlfn.XLOOKUP(_xlfn.ANCHORARRAY($A2), _xlfn.CHOOSECOLS(_xlpm.history, 1), _xlfn.CHOOSECOLS(_xlpm.history, 2), NA()), NA())))</f>
        <v/>
      </c>
      <c r="DI2" s="18" t="str" cm="1">
        <f t="array" aca="1" ref="DI2" ca="1">IF(DI$1="", "", _xlfn.LET(_xlpm.history, _xlfn.STOCKHISTORY(DI$1, TODAY()-365, TODAY(), 0, 0, 0, 1),_xlfn.IFNA(_xlfn.XLOOKUP(_xlfn.ANCHORARRAY($A2), _xlfn.CHOOSECOLS(_xlpm.history, 1), _xlfn.CHOOSECOLS(_xlpm.history, 2), NA()), NA())))</f>
        <v/>
      </c>
      <c r="DJ2" s="18" t="str" cm="1">
        <f t="array" aca="1" ref="DJ2" ca="1">IF(DJ$1="", "", _xlfn.LET(_xlpm.history, _xlfn.STOCKHISTORY(DJ$1, TODAY()-365, TODAY(), 0, 0, 0, 1),_xlfn.IFNA(_xlfn.XLOOKUP(_xlfn.ANCHORARRAY($A2), _xlfn.CHOOSECOLS(_xlpm.history, 1), _xlfn.CHOOSECOLS(_xlpm.history, 2), NA()), NA())))</f>
        <v/>
      </c>
      <c r="DK2" s="18" t="str" cm="1">
        <f t="array" aca="1" ref="DK2" ca="1">IF(DK$1="", "", _xlfn.LET(_xlpm.history, _xlfn.STOCKHISTORY(DK$1, TODAY()-365, TODAY(), 0, 0, 0, 1),_xlfn.IFNA(_xlfn.XLOOKUP(_xlfn.ANCHORARRAY($A2), _xlfn.CHOOSECOLS(_xlpm.history, 1), _xlfn.CHOOSECOLS(_xlpm.history, 2), NA()), NA())))</f>
        <v/>
      </c>
      <c r="DL2" s="18" t="str" cm="1">
        <f t="array" aca="1" ref="DL2" ca="1">IF(DL$1="", "", _xlfn.LET(_xlpm.history, _xlfn.STOCKHISTORY(DL$1, TODAY()-365, TODAY(), 0, 0, 0, 1),_xlfn.IFNA(_xlfn.XLOOKUP(_xlfn.ANCHORARRAY($A2), _xlfn.CHOOSECOLS(_xlpm.history, 1), _xlfn.CHOOSECOLS(_xlpm.history, 2), NA()), NA())))</f>
        <v/>
      </c>
      <c r="DM2" s="18" t="str" cm="1">
        <f t="array" aca="1" ref="DM2" ca="1">IF(DM$1="", "", _xlfn.LET(_xlpm.history, _xlfn.STOCKHISTORY(DM$1, TODAY()-365, TODAY(), 0, 0, 0, 1),_xlfn.IFNA(_xlfn.XLOOKUP(_xlfn.ANCHORARRAY($A2), _xlfn.CHOOSECOLS(_xlpm.history, 1), _xlfn.CHOOSECOLS(_xlpm.history, 2), NA()), NA())))</f>
        <v/>
      </c>
      <c r="DN2" s="18" t="str" cm="1">
        <f t="array" aca="1" ref="DN2" ca="1">IF(DN$1="", "", _xlfn.LET(_xlpm.history, _xlfn.STOCKHISTORY(DN$1, TODAY()-365, TODAY(), 0, 0, 0, 1),_xlfn.IFNA(_xlfn.XLOOKUP(_xlfn.ANCHORARRAY($A2), _xlfn.CHOOSECOLS(_xlpm.history, 1), _xlfn.CHOOSECOLS(_xlpm.history, 2), NA()), NA())))</f>
        <v/>
      </c>
      <c r="DO2" s="18" t="str" cm="1">
        <f t="array" aca="1" ref="DO2" ca="1">IF(DO$1="", "", _xlfn.LET(_xlpm.history, _xlfn.STOCKHISTORY(DO$1, TODAY()-365, TODAY(), 0, 0, 0, 1),_xlfn.IFNA(_xlfn.XLOOKUP(_xlfn.ANCHORARRAY($A2), _xlfn.CHOOSECOLS(_xlpm.history, 1), _xlfn.CHOOSECOLS(_xlpm.history, 2), NA()), NA())))</f>
        <v/>
      </c>
      <c r="DP2" s="18" t="str" cm="1">
        <f t="array" aca="1" ref="DP2" ca="1">IF(DP$1="", "", _xlfn.LET(_xlpm.history, _xlfn.STOCKHISTORY(DP$1, TODAY()-365, TODAY(), 0, 0, 0, 1),_xlfn.IFNA(_xlfn.XLOOKUP(_xlfn.ANCHORARRAY($A2), _xlfn.CHOOSECOLS(_xlpm.history, 1), _xlfn.CHOOSECOLS(_xlpm.history, 2), NA()), NA())))</f>
        <v/>
      </c>
      <c r="DQ2" s="18" t="str" cm="1">
        <f t="array" aca="1" ref="DQ2" ca="1">IF(DQ$1="", "", _xlfn.LET(_xlpm.history, _xlfn.STOCKHISTORY(DQ$1, TODAY()-365, TODAY(), 0, 0, 0, 1),_xlfn.IFNA(_xlfn.XLOOKUP(_xlfn.ANCHORARRAY($A2), _xlfn.CHOOSECOLS(_xlpm.history, 1), _xlfn.CHOOSECOLS(_xlpm.history, 2), NA()), NA())))</f>
        <v/>
      </c>
      <c r="DR2" s="18" t="str" cm="1">
        <f t="array" aca="1" ref="DR2" ca="1">IF(DR$1="", "", _xlfn.LET(_xlpm.history, _xlfn.STOCKHISTORY(DR$1, TODAY()-365, TODAY(), 0, 0, 0, 1),_xlfn.IFNA(_xlfn.XLOOKUP(_xlfn.ANCHORARRAY($A2), _xlfn.CHOOSECOLS(_xlpm.history, 1), _xlfn.CHOOSECOLS(_xlpm.history, 2), NA()), NA())))</f>
        <v/>
      </c>
      <c r="DS2" s="18" t="str" cm="1">
        <f t="array" aca="1" ref="DS2" ca="1">IF(DS$1="", "", _xlfn.LET(_xlpm.history, _xlfn.STOCKHISTORY(DS$1, TODAY()-365, TODAY(), 0, 0, 0, 1),_xlfn.IFNA(_xlfn.XLOOKUP(_xlfn.ANCHORARRAY($A2), _xlfn.CHOOSECOLS(_xlpm.history, 1), _xlfn.CHOOSECOLS(_xlpm.history, 2), NA()), NA())))</f>
        <v/>
      </c>
      <c r="DT2" s="18" t="str" cm="1">
        <f t="array" aca="1" ref="DT2" ca="1">IF(DT$1="", "", _xlfn.LET(_xlpm.history, _xlfn.STOCKHISTORY(DT$1, TODAY()-365, TODAY(), 0, 0, 0, 1),_xlfn.IFNA(_xlfn.XLOOKUP(_xlfn.ANCHORARRAY($A2), _xlfn.CHOOSECOLS(_xlpm.history, 1), _xlfn.CHOOSECOLS(_xlpm.history, 2), NA()), NA())))</f>
        <v/>
      </c>
      <c r="DU2" s="18" t="str" cm="1">
        <f t="array" aca="1" ref="DU2" ca="1">IF(DU$1="", "", _xlfn.LET(_xlpm.history, _xlfn.STOCKHISTORY(DU$1, TODAY()-365, TODAY(), 0, 0, 0, 1),_xlfn.IFNA(_xlfn.XLOOKUP(_xlfn.ANCHORARRAY($A2), _xlfn.CHOOSECOLS(_xlpm.history, 1), _xlfn.CHOOSECOLS(_xlpm.history, 2), NA()), NA())))</f>
        <v/>
      </c>
      <c r="DV2" s="18" t="str" cm="1">
        <f t="array" aca="1" ref="DV2" ca="1">IF(DV$1="", "", _xlfn.LET(_xlpm.history, _xlfn.STOCKHISTORY(DV$1, TODAY()-365, TODAY(), 0, 0, 0, 1),_xlfn.IFNA(_xlfn.XLOOKUP(_xlfn.ANCHORARRAY($A2), _xlfn.CHOOSECOLS(_xlpm.history, 1), _xlfn.CHOOSECOLS(_xlpm.history, 2), NA()), NA())))</f>
        <v/>
      </c>
      <c r="DW2" s="18" t="str" cm="1">
        <f t="array" aca="1" ref="DW2" ca="1">IF(DW$1="", "", _xlfn.LET(_xlpm.history, _xlfn.STOCKHISTORY(DW$1, TODAY()-365, TODAY(), 0, 0, 0, 1),_xlfn.IFNA(_xlfn.XLOOKUP(_xlfn.ANCHORARRAY($A2), _xlfn.CHOOSECOLS(_xlpm.history, 1), _xlfn.CHOOSECOLS(_xlpm.history, 2), NA()), NA())))</f>
        <v/>
      </c>
      <c r="DX2" s="18" t="str" cm="1">
        <f t="array" aca="1" ref="DX2" ca="1">IF(DX$1="", "", _xlfn.LET(_xlpm.history, _xlfn.STOCKHISTORY(DX$1, TODAY()-365, TODAY(), 0, 0, 0, 1),_xlfn.IFNA(_xlfn.XLOOKUP(_xlfn.ANCHORARRAY($A2), _xlfn.CHOOSECOLS(_xlpm.history, 1), _xlfn.CHOOSECOLS(_xlpm.history, 2), NA()), NA())))</f>
        <v/>
      </c>
      <c r="DY2" s="18" t="str" cm="1">
        <f t="array" aca="1" ref="DY2" ca="1">IF(DY$1="", "", _xlfn.LET(_xlpm.history, _xlfn.STOCKHISTORY(DY$1, TODAY()-365, TODAY(), 0, 0, 0, 1),_xlfn.IFNA(_xlfn.XLOOKUP(_xlfn.ANCHORARRAY($A2), _xlfn.CHOOSECOLS(_xlpm.history, 1), _xlfn.CHOOSECOLS(_xlpm.history, 2), NA()), NA())))</f>
        <v/>
      </c>
      <c r="DZ2" s="18" t="str" cm="1">
        <f t="array" aca="1" ref="DZ2" ca="1">IF(DZ$1="", "", _xlfn.LET(_xlpm.history, _xlfn.STOCKHISTORY(DZ$1, TODAY()-365, TODAY(), 0, 0, 0, 1),_xlfn.IFNA(_xlfn.XLOOKUP(_xlfn.ANCHORARRAY($A2), _xlfn.CHOOSECOLS(_xlpm.history, 1), _xlfn.CHOOSECOLS(_xlpm.history, 2), NA()), NA())))</f>
        <v/>
      </c>
      <c r="EA2" s="18" t="str" cm="1">
        <f t="array" aca="1" ref="EA2" ca="1">IF(EA$1="", "", _xlfn.LET(_xlpm.history, _xlfn.STOCKHISTORY(EA$1, TODAY()-365, TODAY(), 0, 0, 0, 1),_xlfn.IFNA(_xlfn.XLOOKUP(_xlfn.ANCHORARRAY($A2), _xlfn.CHOOSECOLS(_xlpm.history, 1), _xlfn.CHOOSECOLS(_xlpm.history, 2), NA()), NA())))</f>
        <v/>
      </c>
      <c r="EB2" s="18" t="str" cm="1">
        <f t="array" aca="1" ref="EB2" ca="1">IF(EB$1="", "", _xlfn.LET(_xlpm.history, _xlfn.STOCKHISTORY(EB$1, TODAY()-365, TODAY(), 0, 0, 0, 1),_xlfn.IFNA(_xlfn.XLOOKUP(_xlfn.ANCHORARRAY($A2), _xlfn.CHOOSECOLS(_xlpm.history, 1), _xlfn.CHOOSECOLS(_xlpm.history, 2), NA()), NA())))</f>
        <v/>
      </c>
      <c r="EC2" s="18" t="str" cm="1">
        <f t="array" aca="1" ref="EC2" ca="1">IF(EC$1="", "", _xlfn.LET(_xlpm.history, _xlfn.STOCKHISTORY(EC$1, TODAY()-365, TODAY(), 0, 0, 0, 1),_xlfn.IFNA(_xlfn.XLOOKUP(_xlfn.ANCHORARRAY($A2), _xlfn.CHOOSECOLS(_xlpm.history, 1), _xlfn.CHOOSECOLS(_xlpm.history, 2), NA()), NA())))</f>
        <v/>
      </c>
      <c r="ED2" s="18" t="str" cm="1">
        <f t="array" aca="1" ref="ED2" ca="1">IF(ED$1="", "", _xlfn.LET(_xlpm.history, _xlfn.STOCKHISTORY(ED$1, TODAY()-365, TODAY(), 0, 0, 0, 1),_xlfn.IFNA(_xlfn.XLOOKUP(_xlfn.ANCHORARRAY($A2), _xlfn.CHOOSECOLS(_xlpm.history, 1), _xlfn.CHOOSECOLS(_xlpm.history, 2), NA()), NA())))</f>
        <v/>
      </c>
      <c r="EE2" s="18" t="str" cm="1">
        <f t="array" aca="1" ref="EE2" ca="1">IF(EE$1="", "", _xlfn.LET(_xlpm.history, _xlfn.STOCKHISTORY(EE$1, TODAY()-365, TODAY(), 0, 0, 0, 1),_xlfn.IFNA(_xlfn.XLOOKUP(_xlfn.ANCHORARRAY($A2), _xlfn.CHOOSECOLS(_xlpm.history, 1), _xlfn.CHOOSECOLS(_xlpm.history, 2), NA()), NA())))</f>
        <v/>
      </c>
      <c r="EF2" s="18" t="str" cm="1">
        <f t="array" aca="1" ref="EF2" ca="1">IF(EF$1="", "", _xlfn.LET(_xlpm.history, _xlfn.STOCKHISTORY(EF$1, TODAY()-365, TODAY(), 0, 0, 0, 1),_xlfn.IFNA(_xlfn.XLOOKUP(_xlfn.ANCHORARRAY($A2), _xlfn.CHOOSECOLS(_xlpm.history, 1), _xlfn.CHOOSECOLS(_xlpm.history, 2), NA()), NA())))</f>
        <v/>
      </c>
      <c r="EG2" s="18" t="str" cm="1">
        <f t="array" aca="1" ref="EG2" ca="1">IF(EG$1="", "", _xlfn.LET(_xlpm.history, _xlfn.STOCKHISTORY(EG$1, TODAY()-365, TODAY(), 0, 0, 0, 1),_xlfn.IFNA(_xlfn.XLOOKUP(_xlfn.ANCHORARRAY($A2), _xlfn.CHOOSECOLS(_xlpm.history, 1), _xlfn.CHOOSECOLS(_xlpm.history, 2), NA()), NA())))</f>
        <v/>
      </c>
      <c r="EH2" s="18" t="str" cm="1">
        <f t="array" aca="1" ref="EH2" ca="1">IF(EH$1="", "", _xlfn.LET(_xlpm.history, _xlfn.STOCKHISTORY(EH$1, TODAY()-365, TODAY(), 0, 0, 0, 1),_xlfn.IFNA(_xlfn.XLOOKUP(_xlfn.ANCHORARRAY($A2), _xlfn.CHOOSECOLS(_xlpm.history, 1), _xlfn.CHOOSECOLS(_xlpm.history, 2), NA()), NA())))</f>
        <v/>
      </c>
      <c r="EI2" s="18" t="str" cm="1">
        <f t="array" aca="1" ref="EI2" ca="1">IF(EI$1="", "", _xlfn.LET(_xlpm.history, _xlfn.STOCKHISTORY(EI$1, TODAY()-365, TODAY(), 0, 0, 0, 1),_xlfn.IFNA(_xlfn.XLOOKUP(_xlfn.ANCHORARRAY($A2), _xlfn.CHOOSECOLS(_xlpm.history, 1), _xlfn.CHOOSECOLS(_xlpm.history, 2), NA()), NA())))</f>
        <v/>
      </c>
      <c r="EJ2" s="18" t="str" cm="1">
        <f t="array" aca="1" ref="EJ2" ca="1">IF(EJ$1="", "", _xlfn.LET(_xlpm.history, _xlfn.STOCKHISTORY(EJ$1, TODAY()-365, TODAY(), 0, 0, 0, 1),_xlfn.IFNA(_xlfn.XLOOKUP(_xlfn.ANCHORARRAY($A2), _xlfn.CHOOSECOLS(_xlpm.history, 1), _xlfn.CHOOSECOLS(_xlpm.history, 2), NA()), NA())))</f>
        <v/>
      </c>
      <c r="EK2" s="18" t="str" cm="1">
        <f t="array" aca="1" ref="EK2" ca="1">IF(EK$1="", "", _xlfn.LET(_xlpm.history, _xlfn.STOCKHISTORY(EK$1, TODAY()-365, TODAY(), 0, 0, 0, 1),_xlfn.IFNA(_xlfn.XLOOKUP(_xlfn.ANCHORARRAY($A2), _xlfn.CHOOSECOLS(_xlpm.history, 1), _xlfn.CHOOSECOLS(_xlpm.history, 2), NA()), NA())))</f>
        <v/>
      </c>
      <c r="EL2" s="18" t="str" cm="1">
        <f t="array" aca="1" ref="EL2" ca="1">IF(EL$1="", "", _xlfn.LET(_xlpm.history, _xlfn.STOCKHISTORY(EL$1, TODAY()-365, TODAY(), 0, 0, 0, 1),_xlfn.IFNA(_xlfn.XLOOKUP(_xlfn.ANCHORARRAY($A2), _xlfn.CHOOSECOLS(_xlpm.history, 1), _xlfn.CHOOSECOLS(_xlpm.history, 2), NA()), NA())))</f>
        <v/>
      </c>
      <c r="EM2" s="18" t="str" cm="1">
        <f t="array" aca="1" ref="EM2" ca="1">IF(EM$1="", "", _xlfn.LET(_xlpm.history, _xlfn.STOCKHISTORY(EM$1, TODAY()-365, TODAY(), 0, 0, 0, 1),_xlfn.IFNA(_xlfn.XLOOKUP(_xlfn.ANCHORARRAY($A2), _xlfn.CHOOSECOLS(_xlpm.history, 1), _xlfn.CHOOSECOLS(_xlpm.history, 2), NA()), NA())))</f>
        <v/>
      </c>
      <c r="EN2" s="18" t="str" cm="1">
        <f t="array" aca="1" ref="EN2" ca="1">IF(EN$1="", "", _xlfn.LET(_xlpm.history, _xlfn.STOCKHISTORY(EN$1, TODAY()-365, TODAY(), 0, 0, 0, 1),_xlfn.IFNA(_xlfn.XLOOKUP(_xlfn.ANCHORARRAY($A2), _xlfn.CHOOSECOLS(_xlpm.history, 1), _xlfn.CHOOSECOLS(_xlpm.history, 2), NA()), NA())))</f>
        <v/>
      </c>
      <c r="EO2" s="18" t="str" cm="1">
        <f t="array" aca="1" ref="EO2" ca="1">IF(EO$1="", "", _xlfn.LET(_xlpm.history, _xlfn.STOCKHISTORY(EO$1, TODAY()-365, TODAY(), 0, 0, 0, 1),_xlfn.IFNA(_xlfn.XLOOKUP(_xlfn.ANCHORARRAY($A2), _xlfn.CHOOSECOLS(_xlpm.history, 1), _xlfn.CHOOSECOLS(_xlpm.history, 2), NA()), NA())))</f>
        <v/>
      </c>
      <c r="EP2" s="18" t="str" cm="1">
        <f t="array" aca="1" ref="EP2" ca="1">IF(EP$1="", "", _xlfn.LET(_xlpm.history, _xlfn.STOCKHISTORY(EP$1, TODAY()-365, TODAY(), 0, 0, 0, 1),_xlfn.IFNA(_xlfn.XLOOKUP(_xlfn.ANCHORARRAY($A2), _xlfn.CHOOSECOLS(_xlpm.history, 1), _xlfn.CHOOSECOLS(_xlpm.history, 2), NA()), NA())))</f>
        <v/>
      </c>
      <c r="EQ2" s="18" t="str" cm="1">
        <f t="array" aca="1" ref="EQ2" ca="1">IF(EQ$1="", "", _xlfn.LET(_xlpm.history, _xlfn.STOCKHISTORY(EQ$1, TODAY()-365, TODAY(), 0, 0, 0, 1),_xlfn.IFNA(_xlfn.XLOOKUP(_xlfn.ANCHORARRAY($A2), _xlfn.CHOOSECOLS(_xlpm.history, 1), _xlfn.CHOOSECOLS(_xlpm.history, 2), NA()), NA())))</f>
        <v/>
      </c>
      <c r="ER2" s="18" t="str" cm="1">
        <f t="array" aca="1" ref="ER2" ca="1">IF(ER$1="", "", _xlfn.LET(_xlpm.history, _xlfn.STOCKHISTORY(ER$1, TODAY()-365, TODAY(), 0, 0, 0, 1),_xlfn.IFNA(_xlfn.XLOOKUP(_xlfn.ANCHORARRAY($A2), _xlfn.CHOOSECOLS(_xlpm.history, 1), _xlfn.CHOOSECOLS(_xlpm.history, 2), NA()), NA())))</f>
        <v/>
      </c>
      <c r="ES2" s="18" t="str" cm="1">
        <f t="array" aca="1" ref="ES2" ca="1">IF(ES$1="", "", _xlfn.LET(_xlpm.history, _xlfn.STOCKHISTORY(ES$1, TODAY()-365, TODAY(), 0, 0, 0, 1),_xlfn.IFNA(_xlfn.XLOOKUP(_xlfn.ANCHORARRAY($A2), _xlfn.CHOOSECOLS(_xlpm.history, 1), _xlfn.CHOOSECOLS(_xlpm.history, 2), NA()), NA())))</f>
        <v/>
      </c>
      <c r="ET2" s="18" t="str" cm="1">
        <f t="array" aca="1" ref="ET2" ca="1">IF(ET$1="", "", _xlfn.LET(_xlpm.history, _xlfn.STOCKHISTORY(ET$1, TODAY()-365, TODAY(), 0, 0, 0, 1),_xlfn.IFNA(_xlfn.XLOOKUP(_xlfn.ANCHORARRAY($A2), _xlfn.CHOOSECOLS(_xlpm.history, 1), _xlfn.CHOOSECOLS(_xlpm.history, 2), NA()), NA())))</f>
        <v/>
      </c>
      <c r="EU2" s="18" t="str" cm="1">
        <f t="array" aca="1" ref="EU2" ca="1">IF(EU$1="", "", _xlfn.LET(_xlpm.history, _xlfn.STOCKHISTORY(EU$1, TODAY()-365, TODAY(), 0, 0, 0, 1),_xlfn.IFNA(_xlfn.XLOOKUP(_xlfn.ANCHORARRAY($A2), _xlfn.CHOOSECOLS(_xlpm.history, 1), _xlfn.CHOOSECOLS(_xlpm.history, 2), NA()), NA())))</f>
        <v/>
      </c>
      <c r="EV2" s="18" t="str" cm="1">
        <f t="array" aca="1" ref="EV2" ca="1">IF(EV$1="", "", _xlfn.LET(_xlpm.history, _xlfn.STOCKHISTORY(EV$1, TODAY()-365, TODAY(), 0, 0, 0, 1),_xlfn.IFNA(_xlfn.XLOOKUP(_xlfn.ANCHORARRAY($A2), _xlfn.CHOOSECOLS(_xlpm.history, 1), _xlfn.CHOOSECOLS(_xlpm.history, 2), NA()), NA())))</f>
        <v/>
      </c>
      <c r="EW2" s="18" t="str" cm="1">
        <f t="array" aca="1" ref="EW2" ca="1">IF(EW$1="", "", _xlfn.LET(_xlpm.history, _xlfn.STOCKHISTORY(EW$1, TODAY()-365, TODAY(), 0, 0, 0, 1),_xlfn.IFNA(_xlfn.XLOOKUP(_xlfn.ANCHORARRAY($A2), _xlfn.CHOOSECOLS(_xlpm.history, 1), _xlfn.CHOOSECOLS(_xlpm.history, 2), NA()), NA())))</f>
        <v/>
      </c>
      <c r="EX2" s="18" t="str" cm="1">
        <f t="array" aca="1" ref="EX2" ca="1">IF(EX$1="", "", _xlfn.LET(_xlpm.history, _xlfn.STOCKHISTORY(EX$1, TODAY()-365, TODAY(), 0, 0, 0, 1),_xlfn.IFNA(_xlfn.XLOOKUP(_xlfn.ANCHORARRAY($A2), _xlfn.CHOOSECOLS(_xlpm.history, 1), _xlfn.CHOOSECOLS(_xlpm.history, 2), NA()), NA())))</f>
        <v/>
      </c>
      <c r="EY2" s="18" t="str" cm="1">
        <f t="array" aca="1" ref="EY2" ca="1">IF(EY$1="", "", _xlfn.LET(_xlpm.history, _xlfn.STOCKHISTORY(EY$1, TODAY()-365, TODAY(), 0, 0, 0, 1),_xlfn.IFNA(_xlfn.XLOOKUP(_xlfn.ANCHORARRAY($A2), _xlfn.CHOOSECOLS(_xlpm.history, 1), _xlfn.CHOOSECOLS(_xlpm.history, 2), NA()), NA())))</f>
        <v/>
      </c>
      <c r="EZ2" s="18" t="str" cm="1">
        <f t="array" aca="1" ref="EZ2" ca="1">IF(EZ$1="", "", _xlfn.LET(_xlpm.history, _xlfn.STOCKHISTORY(EZ$1, TODAY()-365, TODAY(), 0, 0, 0, 1),_xlfn.IFNA(_xlfn.XLOOKUP(_xlfn.ANCHORARRAY($A2), _xlfn.CHOOSECOLS(_xlpm.history, 1), _xlfn.CHOOSECOLS(_xlpm.history, 2), NA()), NA())))</f>
        <v/>
      </c>
      <c r="FA2" s="18" t="str" cm="1">
        <f t="array" aca="1" ref="FA2" ca="1">IF(FA$1="", "", _xlfn.LET(_xlpm.history, _xlfn.STOCKHISTORY(FA$1, TODAY()-365, TODAY(), 0, 0, 0, 1),_xlfn.IFNA(_xlfn.XLOOKUP(_xlfn.ANCHORARRAY($A2), _xlfn.CHOOSECOLS(_xlpm.history, 1), _xlfn.CHOOSECOLS(_xlpm.history, 2), NA()), NA())))</f>
        <v/>
      </c>
      <c r="FB2" s="18" t="str" cm="1">
        <f t="array" aca="1" ref="FB2" ca="1">IF(FB$1="", "", _xlfn.LET(_xlpm.history, _xlfn.STOCKHISTORY(FB$1, TODAY()-365, TODAY(), 0, 0, 0, 1),_xlfn.IFNA(_xlfn.XLOOKUP(_xlfn.ANCHORARRAY($A2), _xlfn.CHOOSECOLS(_xlpm.history, 1), _xlfn.CHOOSECOLS(_xlpm.history, 2), NA()), NA())))</f>
        <v/>
      </c>
      <c r="FC2" s="18" t="str" cm="1">
        <f t="array" aca="1" ref="FC2" ca="1">IF(FC$1="", "", _xlfn.LET(_xlpm.history, _xlfn.STOCKHISTORY(FC$1, TODAY()-365, TODAY(), 0, 0, 0, 1),_xlfn.IFNA(_xlfn.XLOOKUP(_xlfn.ANCHORARRAY($A2), _xlfn.CHOOSECOLS(_xlpm.history, 1), _xlfn.CHOOSECOLS(_xlpm.history, 2), NA()), NA())))</f>
        <v/>
      </c>
      <c r="FD2" s="18" t="str" cm="1">
        <f t="array" aca="1" ref="FD2" ca="1">IF(FD$1="", "", _xlfn.LET(_xlpm.history, _xlfn.STOCKHISTORY(FD$1, TODAY()-365, TODAY(), 0, 0, 0, 1),_xlfn.IFNA(_xlfn.XLOOKUP(_xlfn.ANCHORARRAY($A2), _xlfn.CHOOSECOLS(_xlpm.history, 1), _xlfn.CHOOSECOLS(_xlpm.history, 2), NA()), NA())))</f>
        <v/>
      </c>
      <c r="FE2" s="18" t="str" cm="1">
        <f t="array" aca="1" ref="FE2" ca="1">IF(FE$1="", "", _xlfn.LET(_xlpm.history, _xlfn.STOCKHISTORY(FE$1, TODAY()-365, TODAY(), 0, 0, 0, 1),_xlfn.IFNA(_xlfn.XLOOKUP(_xlfn.ANCHORARRAY($A2), _xlfn.CHOOSECOLS(_xlpm.history, 1), _xlfn.CHOOSECOLS(_xlpm.history, 2), NA()), NA())))</f>
        <v/>
      </c>
      <c r="FF2" s="18" t="str" cm="1">
        <f t="array" aca="1" ref="FF2" ca="1">IF(FF$1="", "", _xlfn.LET(_xlpm.history, _xlfn.STOCKHISTORY(FF$1, TODAY()-365, TODAY(), 0, 0, 0, 1),_xlfn.IFNA(_xlfn.XLOOKUP(_xlfn.ANCHORARRAY($A2), _xlfn.CHOOSECOLS(_xlpm.history, 1), _xlfn.CHOOSECOLS(_xlpm.history, 2), NA()), NA())))</f>
        <v/>
      </c>
      <c r="FG2" s="18" t="str" cm="1">
        <f t="array" aca="1" ref="FG2" ca="1">IF(FG$1="", "", _xlfn.LET(_xlpm.history, _xlfn.STOCKHISTORY(FG$1, TODAY()-365, TODAY(), 0, 0, 0, 1),_xlfn.IFNA(_xlfn.XLOOKUP(_xlfn.ANCHORARRAY($A2), _xlfn.CHOOSECOLS(_xlpm.history, 1), _xlfn.CHOOSECOLS(_xlpm.history, 2), NA()), NA())))</f>
        <v/>
      </c>
      <c r="FH2" s="18" t="str" cm="1">
        <f t="array" aca="1" ref="FH2" ca="1">IF(FH$1="", "", _xlfn.LET(_xlpm.history, _xlfn.STOCKHISTORY(FH$1, TODAY()-365, TODAY(), 0, 0, 0, 1),_xlfn.IFNA(_xlfn.XLOOKUP(_xlfn.ANCHORARRAY($A2), _xlfn.CHOOSECOLS(_xlpm.history, 1), _xlfn.CHOOSECOLS(_xlpm.history, 2), NA()), NA())))</f>
        <v/>
      </c>
      <c r="FI2" s="18" t="str" cm="1">
        <f t="array" aca="1" ref="FI2" ca="1">IF(FI$1="", "", _xlfn.LET(_xlpm.history, _xlfn.STOCKHISTORY(FI$1, TODAY()-365, TODAY(), 0, 0, 0, 1),_xlfn.IFNA(_xlfn.XLOOKUP(_xlfn.ANCHORARRAY($A2), _xlfn.CHOOSECOLS(_xlpm.history, 1), _xlfn.CHOOSECOLS(_xlpm.history, 2), NA()), NA())))</f>
        <v/>
      </c>
      <c r="FJ2" s="18" t="str" cm="1">
        <f t="array" aca="1" ref="FJ2" ca="1">IF(FJ$1="", "", _xlfn.LET(_xlpm.history, _xlfn.STOCKHISTORY(FJ$1, TODAY()-365, TODAY(), 0, 0, 0, 1),_xlfn.IFNA(_xlfn.XLOOKUP(_xlfn.ANCHORARRAY($A2), _xlfn.CHOOSECOLS(_xlpm.history, 1), _xlfn.CHOOSECOLS(_xlpm.history, 2), NA()), NA())))</f>
        <v/>
      </c>
      <c r="FK2" s="18" t="str" cm="1">
        <f t="array" aca="1" ref="FK2" ca="1">IF(FK$1="", "", _xlfn.LET(_xlpm.history, _xlfn.STOCKHISTORY(FK$1, TODAY()-365, TODAY(), 0, 0, 0, 1),_xlfn.IFNA(_xlfn.XLOOKUP(_xlfn.ANCHORARRAY($A2), _xlfn.CHOOSECOLS(_xlpm.history, 1), _xlfn.CHOOSECOLS(_xlpm.history, 2), NA()), NA())))</f>
        <v/>
      </c>
      <c r="FL2" s="18" t="str" cm="1">
        <f t="array" aca="1" ref="FL2" ca="1">IF(FL$1="", "", _xlfn.LET(_xlpm.history, _xlfn.STOCKHISTORY(FL$1, TODAY()-365, TODAY(), 0, 0, 0, 1),_xlfn.IFNA(_xlfn.XLOOKUP(_xlfn.ANCHORARRAY($A2), _xlfn.CHOOSECOLS(_xlpm.history, 1), _xlfn.CHOOSECOLS(_xlpm.history, 2), NA()), NA())))</f>
        <v/>
      </c>
      <c r="FM2" s="18" t="str" cm="1">
        <f t="array" aca="1" ref="FM2" ca="1">IF(FM$1="", "", _xlfn.LET(_xlpm.history, _xlfn.STOCKHISTORY(FM$1, TODAY()-365, TODAY(), 0, 0, 0, 1),_xlfn.IFNA(_xlfn.XLOOKUP(_xlfn.ANCHORARRAY($A2), _xlfn.CHOOSECOLS(_xlpm.history, 1), _xlfn.CHOOSECOLS(_xlpm.history, 2), NA()), NA())))</f>
        <v/>
      </c>
      <c r="FN2" s="18" t="str" cm="1">
        <f t="array" aca="1" ref="FN2" ca="1">IF(FN$1="", "", _xlfn.LET(_xlpm.history, _xlfn.STOCKHISTORY(FN$1, TODAY()-365, TODAY(), 0, 0, 0, 1),_xlfn.IFNA(_xlfn.XLOOKUP(_xlfn.ANCHORARRAY($A2), _xlfn.CHOOSECOLS(_xlpm.history, 1), _xlfn.CHOOSECOLS(_xlpm.history, 2), NA()), NA())))</f>
        <v/>
      </c>
      <c r="FO2" s="18" t="str" cm="1">
        <f t="array" aca="1" ref="FO2" ca="1">IF(FO$1="", "", _xlfn.LET(_xlpm.history, _xlfn.STOCKHISTORY(FO$1, TODAY()-365, TODAY(), 0, 0, 0, 1),_xlfn.IFNA(_xlfn.XLOOKUP(_xlfn.ANCHORARRAY($A2), _xlfn.CHOOSECOLS(_xlpm.history, 1), _xlfn.CHOOSECOLS(_xlpm.history, 2), NA()), NA())))</f>
        <v/>
      </c>
      <c r="FP2" s="18" t="str" cm="1">
        <f t="array" aca="1" ref="FP2" ca="1">IF(FP$1="", "", _xlfn.LET(_xlpm.history, _xlfn.STOCKHISTORY(FP$1, TODAY()-365, TODAY(), 0, 0, 0, 1),_xlfn.IFNA(_xlfn.XLOOKUP(_xlfn.ANCHORARRAY($A2), _xlfn.CHOOSECOLS(_xlpm.history, 1), _xlfn.CHOOSECOLS(_xlpm.history, 2), NA()), NA())))</f>
        <v/>
      </c>
      <c r="FQ2" s="18" t="str" cm="1">
        <f t="array" aca="1" ref="FQ2" ca="1">IF(FQ$1="", "", _xlfn.LET(_xlpm.history, _xlfn.STOCKHISTORY(FQ$1, TODAY()-365, TODAY(), 0, 0, 0, 1),_xlfn.IFNA(_xlfn.XLOOKUP(_xlfn.ANCHORARRAY($A2), _xlfn.CHOOSECOLS(_xlpm.history, 1), _xlfn.CHOOSECOLS(_xlpm.history, 2), NA()), NA())))</f>
        <v/>
      </c>
      <c r="FR2" s="18" t="str" cm="1">
        <f t="array" aca="1" ref="FR2" ca="1">IF(FR$1="", "", _xlfn.LET(_xlpm.history, _xlfn.STOCKHISTORY(FR$1, TODAY()-365, TODAY(), 0, 0, 0, 1),_xlfn.IFNA(_xlfn.XLOOKUP(_xlfn.ANCHORARRAY($A2), _xlfn.CHOOSECOLS(_xlpm.history, 1), _xlfn.CHOOSECOLS(_xlpm.history, 2), NA()), NA())))</f>
        <v/>
      </c>
      <c r="FS2" s="18" t="str" cm="1">
        <f t="array" aca="1" ref="FS2" ca="1">IF(FS$1="", "", _xlfn.LET(_xlpm.history, _xlfn.STOCKHISTORY(FS$1, TODAY()-365, TODAY(), 0, 0, 0, 1),_xlfn.IFNA(_xlfn.XLOOKUP(_xlfn.ANCHORARRAY($A2), _xlfn.CHOOSECOLS(_xlpm.history, 1), _xlfn.CHOOSECOLS(_xlpm.history, 2), NA()), NA())))</f>
        <v/>
      </c>
      <c r="FT2" s="18" t="str" cm="1">
        <f t="array" aca="1" ref="FT2" ca="1">IF(FT$1="", "", _xlfn.LET(_xlpm.history, _xlfn.STOCKHISTORY(FT$1, TODAY()-365, TODAY(), 0, 0, 0, 1),_xlfn.IFNA(_xlfn.XLOOKUP(_xlfn.ANCHORARRAY($A2), _xlfn.CHOOSECOLS(_xlpm.history, 1), _xlfn.CHOOSECOLS(_xlpm.history, 2), NA()), NA())))</f>
        <v/>
      </c>
      <c r="FU2" s="18" t="str" cm="1">
        <f t="array" aca="1" ref="FU2" ca="1">IF(FU$1="", "", _xlfn.LET(_xlpm.history, _xlfn.STOCKHISTORY(FU$1, TODAY()-365, TODAY(), 0, 0, 0, 1),_xlfn.IFNA(_xlfn.XLOOKUP(_xlfn.ANCHORARRAY($A2), _xlfn.CHOOSECOLS(_xlpm.history, 1), _xlfn.CHOOSECOLS(_xlpm.history, 2), NA()), NA())))</f>
        <v/>
      </c>
      <c r="FV2" s="18" t="str" cm="1">
        <f t="array" aca="1" ref="FV2" ca="1">IF(FV$1="", "", _xlfn.LET(_xlpm.history, _xlfn.STOCKHISTORY(FV$1, TODAY()-365, TODAY(), 0, 0, 0, 1),_xlfn.IFNA(_xlfn.XLOOKUP(_xlfn.ANCHORARRAY($A2), _xlfn.CHOOSECOLS(_xlpm.history, 1), _xlfn.CHOOSECOLS(_xlpm.history, 2), NA()), NA())))</f>
        <v/>
      </c>
      <c r="FW2" s="18" t="str" cm="1">
        <f t="array" aca="1" ref="FW2" ca="1">IF(FW$1="", "", _xlfn.LET(_xlpm.history, _xlfn.STOCKHISTORY(FW$1, TODAY()-365, TODAY(), 0, 0, 0, 1),_xlfn.IFNA(_xlfn.XLOOKUP(_xlfn.ANCHORARRAY($A2), _xlfn.CHOOSECOLS(_xlpm.history, 1), _xlfn.CHOOSECOLS(_xlpm.history, 2), NA()), NA())))</f>
        <v/>
      </c>
      <c r="FX2" s="18" t="str" cm="1">
        <f t="array" aca="1" ref="FX2" ca="1">IF(FX$1="", "", _xlfn.LET(_xlpm.history, _xlfn.STOCKHISTORY(FX$1, TODAY()-365, TODAY(), 0, 0, 0, 1),_xlfn.IFNA(_xlfn.XLOOKUP(_xlfn.ANCHORARRAY($A2), _xlfn.CHOOSECOLS(_xlpm.history, 1), _xlfn.CHOOSECOLS(_xlpm.history, 2), NA()), NA())))</f>
        <v/>
      </c>
      <c r="FY2" s="18" t="str" cm="1">
        <f t="array" aca="1" ref="FY2" ca="1">IF(FY$1="", "", _xlfn.LET(_xlpm.history, _xlfn.STOCKHISTORY(FY$1, TODAY()-365, TODAY(), 0, 0, 0, 1),_xlfn.IFNA(_xlfn.XLOOKUP(_xlfn.ANCHORARRAY($A2), _xlfn.CHOOSECOLS(_xlpm.history, 1), _xlfn.CHOOSECOLS(_xlpm.history, 2), NA()), NA())))</f>
        <v/>
      </c>
      <c r="FZ2" s="18" t="str" cm="1">
        <f t="array" aca="1" ref="FZ2" ca="1">IF(FZ$1="", "", _xlfn.LET(_xlpm.history, _xlfn.STOCKHISTORY(FZ$1, TODAY()-365, TODAY(), 0, 0, 0, 1),_xlfn.IFNA(_xlfn.XLOOKUP(_xlfn.ANCHORARRAY($A2), _xlfn.CHOOSECOLS(_xlpm.history, 1), _xlfn.CHOOSECOLS(_xlpm.history, 2), NA()), NA())))</f>
        <v/>
      </c>
      <c r="GA2" s="18" t="str" cm="1">
        <f t="array" aca="1" ref="GA2" ca="1">IF(GA$1="", "", _xlfn.LET(_xlpm.history, _xlfn.STOCKHISTORY(GA$1, TODAY()-365, TODAY(), 0, 0, 0, 1),_xlfn.IFNA(_xlfn.XLOOKUP(_xlfn.ANCHORARRAY($A2), _xlfn.CHOOSECOLS(_xlpm.history, 1), _xlfn.CHOOSECOLS(_xlpm.history, 2), NA()), NA())))</f>
        <v/>
      </c>
      <c r="GB2" s="18" t="str" cm="1">
        <f t="array" aca="1" ref="GB2" ca="1">IF(GB$1="", "", _xlfn.LET(_xlpm.history, _xlfn.STOCKHISTORY(GB$1, TODAY()-365, TODAY(), 0, 0, 0, 1),_xlfn.IFNA(_xlfn.XLOOKUP(_xlfn.ANCHORARRAY($A2), _xlfn.CHOOSECOLS(_xlpm.history, 1), _xlfn.CHOOSECOLS(_xlpm.history, 2), NA()), NA())))</f>
        <v/>
      </c>
      <c r="GC2" s="18" t="str" cm="1">
        <f t="array" aca="1" ref="GC2" ca="1">IF(GC$1="", "", _xlfn.LET(_xlpm.history, _xlfn.STOCKHISTORY(GC$1, TODAY()-365, TODAY(), 0, 0, 0, 1),_xlfn.IFNA(_xlfn.XLOOKUP(_xlfn.ANCHORARRAY($A2), _xlfn.CHOOSECOLS(_xlpm.history, 1), _xlfn.CHOOSECOLS(_xlpm.history, 2), NA()), NA())))</f>
        <v/>
      </c>
      <c r="GD2" s="18" t="str" cm="1">
        <f t="array" aca="1" ref="GD2" ca="1">IF(GD$1="", "", _xlfn.LET(_xlpm.history, _xlfn.STOCKHISTORY(GD$1, TODAY()-365, TODAY(), 0, 0, 0, 1),_xlfn.IFNA(_xlfn.XLOOKUP(_xlfn.ANCHORARRAY($A2), _xlfn.CHOOSECOLS(_xlpm.history, 1), _xlfn.CHOOSECOLS(_xlpm.history, 2), NA()), NA())))</f>
        <v/>
      </c>
      <c r="GE2" s="18" t="str" cm="1">
        <f t="array" aca="1" ref="GE2" ca="1">IF(GE$1="", "", _xlfn.LET(_xlpm.history, _xlfn.STOCKHISTORY(GE$1, TODAY()-365, TODAY(), 0, 0, 0, 1),_xlfn.IFNA(_xlfn.XLOOKUP(_xlfn.ANCHORARRAY($A2), _xlfn.CHOOSECOLS(_xlpm.history, 1), _xlfn.CHOOSECOLS(_xlpm.history, 2), NA()), NA())))</f>
        <v/>
      </c>
      <c r="GF2" s="18" t="str" cm="1">
        <f t="array" aca="1" ref="GF2" ca="1">IF(GF$1="", "", _xlfn.LET(_xlpm.history, _xlfn.STOCKHISTORY(GF$1, TODAY()-365, TODAY(), 0, 0, 0, 1),_xlfn.IFNA(_xlfn.XLOOKUP(_xlfn.ANCHORARRAY($A2), _xlfn.CHOOSECOLS(_xlpm.history, 1), _xlfn.CHOOSECOLS(_xlpm.history, 2), NA()), NA())))</f>
        <v/>
      </c>
      <c r="GG2" s="18" t="str" cm="1">
        <f t="array" aca="1" ref="GG2" ca="1">IF(GG$1="", "", _xlfn.LET(_xlpm.history, _xlfn.STOCKHISTORY(GG$1, TODAY()-365, TODAY(), 0, 0, 0, 1),_xlfn.IFNA(_xlfn.XLOOKUP(_xlfn.ANCHORARRAY($A2), _xlfn.CHOOSECOLS(_xlpm.history, 1), _xlfn.CHOOSECOLS(_xlpm.history, 2), NA()), NA())))</f>
        <v/>
      </c>
      <c r="GH2" s="18" t="str" cm="1">
        <f t="array" aca="1" ref="GH2" ca="1">IF(GH$1="", "", _xlfn.LET(_xlpm.history, _xlfn.STOCKHISTORY(GH$1, TODAY()-365, TODAY(), 0, 0, 0, 1),_xlfn.IFNA(_xlfn.XLOOKUP(_xlfn.ANCHORARRAY($A2), _xlfn.CHOOSECOLS(_xlpm.history, 1), _xlfn.CHOOSECOLS(_xlpm.history, 2), NA()), NA())))</f>
        <v/>
      </c>
      <c r="GI2" s="18" t="str" cm="1">
        <f t="array" aca="1" ref="GI2" ca="1">IF(GI$1="", "", _xlfn.LET(_xlpm.history, _xlfn.STOCKHISTORY(GI$1, TODAY()-365, TODAY(), 0, 0, 0, 1),_xlfn.IFNA(_xlfn.XLOOKUP(_xlfn.ANCHORARRAY($A2), _xlfn.CHOOSECOLS(_xlpm.history, 1), _xlfn.CHOOSECOLS(_xlpm.history, 2), NA()), NA())))</f>
        <v/>
      </c>
      <c r="GJ2" s="18" t="str" cm="1">
        <f t="array" aca="1" ref="GJ2" ca="1">IF(GJ$1="", "", _xlfn.LET(_xlpm.history, _xlfn.STOCKHISTORY(GJ$1, TODAY()-365, TODAY(), 0, 0, 0, 1),_xlfn.IFNA(_xlfn.XLOOKUP(_xlfn.ANCHORARRAY($A2), _xlfn.CHOOSECOLS(_xlpm.history, 1), _xlfn.CHOOSECOLS(_xlpm.history, 2), NA()), NA())))</f>
        <v/>
      </c>
      <c r="GK2" s="18" t="str" cm="1">
        <f t="array" aca="1" ref="GK2" ca="1">IF(GK$1="", "", _xlfn.LET(_xlpm.history, _xlfn.STOCKHISTORY(GK$1, TODAY()-365, TODAY(), 0, 0, 0, 1),_xlfn.IFNA(_xlfn.XLOOKUP(_xlfn.ANCHORARRAY($A2), _xlfn.CHOOSECOLS(_xlpm.history, 1), _xlfn.CHOOSECOLS(_xlpm.history, 2), NA()), NA())))</f>
        <v/>
      </c>
      <c r="GL2" s="18" t="str" cm="1">
        <f t="array" aca="1" ref="GL2" ca="1">IF(GL$1="", "", _xlfn.LET(_xlpm.history, _xlfn.STOCKHISTORY(GL$1, TODAY()-365, TODAY(), 0, 0, 0, 1),_xlfn.IFNA(_xlfn.XLOOKUP(_xlfn.ANCHORARRAY($A2), _xlfn.CHOOSECOLS(_xlpm.history, 1), _xlfn.CHOOSECOLS(_xlpm.history, 2), NA()), NA())))</f>
        <v/>
      </c>
      <c r="GM2" s="18" t="str" cm="1">
        <f t="array" aca="1" ref="GM2" ca="1">IF(GM$1="", "", _xlfn.LET(_xlpm.history, _xlfn.STOCKHISTORY(GM$1, TODAY()-365, TODAY(), 0, 0, 0, 1),_xlfn.IFNA(_xlfn.XLOOKUP(_xlfn.ANCHORARRAY($A2), _xlfn.CHOOSECOLS(_xlpm.history, 1), _xlfn.CHOOSECOLS(_xlpm.history, 2), NA()), NA())))</f>
        <v/>
      </c>
      <c r="GN2" s="18" t="str" cm="1">
        <f t="array" aca="1" ref="GN2" ca="1">IF(GN$1="", "", _xlfn.LET(_xlpm.history, _xlfn.STOCKHISTORY(GN$1, TODAY()-365, TODAY(), 0, 0, 0, 1),_xlfn.IFNA(_xlfn.XLOOKUP(_xlfn.ANCHORARRAY($A2), _xlfn.CHOOSECOLS(_xlpm.history, 1), _xlfn.CHOOSECOLS(_xlpm.history, 2), NA()), NA())))</f>
        <v/>
      </c>
      <c r="GO2" s="18" t="str" cm="1">
        <f t="array" aca="1" ref="GO2" ca="1">IF(GO$1="", "", _xlfn.LET(_xlpm.history, _xlfn.STOCKHISTORY(GO$1, TODAY()-365, TODAY(), 0, 0, 0, 1),_xlfn.IFNA(_xlfn.XLOOKUP(_xlfn.ANCHORARRAY($A2), _xlfn.CHOOSECOLS(_xlpm.history, 1), _xlfn.CHOOSECOLS(_xlpm.history, 2), NA()), NA())))</f>
        <v/>
      </c>
      <c r="GP2" s="18" t="str" cm="1">
        <f t="array" aca="1" ref="GP2" ca="1">IF(GP$1="", "", _xlfn.LET(_xlpm.history, _xlfn.STOCKHISTORY(GP$1, TODAY()-365, TODAY(), 0, 0, 0, 1),_xlfn.IFNA(_xlfn.XLOOKUP(_xlfn.ANCHORARRAY($A2), _xlfn.CHOOSECOLS(_xlpm.history, 1), _xlfn.CHOOSECOLS(_xlpm.history, 2), NA()), NA())))</f>
        <v/>
      </c>
      <c r="GQ2" s="18" t="str" cm="1">
        <f t="array" aca="1" ref="GQ2" ca="1">IF(GQ$1="", "", _xlfn.LET(_xlpm.history, _xlfn.STOCKHISTORY(GQ$1, TODAY()-365, TODAY(), 0, 0, 0, 1),_xlfn.IFNA(_xlfn.XLOOKUP(_xlfn.ANCHORARRAY($A2), _xlfn.CHOOSECOLS(_xlpm.history, 1), _xlfn.CHOOSECOLS(_xlpm.history, 2), NA()), NA())))</f>
        <v/>
      </c>
      <c r="GR2" s="18" t="str" cm="1">
        <f t="array" aca="1" ref="GR2" ca="1">IF(GR$1="", "", _xlfn.LET(_xlpm.history, _xlfn.STOCKHISTORY(GR$1, TODAY()-365, TODAY(), 0, 0, 0, 1),_xlfn.IFNA(_xlfn.XLOOKUP(_xlfn.ANCHORARRAY($A2), _xlfn.CHOOSECOLS(_xlpm.history, 1), _xlfn.CHOOSECOLS(_xlpm.history, 2), NA()), NA())))</f>
        <v/>
      </c>
      <c r="GS2" s="18" t="str" cm="1">
        <f t="array" aca="1" ref="GS2" ca="1">IF(GS$1="", "", _xlfn.LET(_xlpm.history, _xlfn.STOCKHISTORY(GS$1, TODAY()-365, TODAY(), 0, 0, 0, 1),_xlfn.IFNA(_xlfn.XLOOKUP(_xlfn.ANCHORARRAY($A2), _xlfn.CHOOSECOLS(_xlpm.history, 1), _xlfn.CHOOSECOLS(_xlpm.history, 2), NA()), NA())))</f>
        <v/>
      </c>
      <c r="GT2" s="18" t="str" cm="1">
        <f t="array" aca="1" ref="GT2" ca="1">IF(GT$1="", "", _xlfn.LET(_xlpm.history, _xlfn.STOCKHISTORY(GT$1, TODAY()-365, TODAY(), 0, 0, 0, 1),_xlfn.IFNA(_xlfn.XLOOKUP(_xlfn.ANCHORARRAY($A2), _xlfn.CHOOSECOLS(_xlpm.history, 1), _xlfn.CHOOSECOLS(_xlpm.history, 2), NA()), NA())))</f>
        <v/>
      </c>
      <c r="GU2" s="18" t="str" cm="1">
        <f t="array" aca="1" ref="GU2" ca="1">IF(GU$1="", "", _xlfn.LET(_xlpm.history, _xlfn.STOCKHISTORY(GU$1, TODAY()-365, TODAY(), 0, 0, 0, 1),_xlfn.IFNA(_xlfn.XLOOKUP(_xlfn.ANCHORARRAY($A2), _xlfn.CHOOSECOLS(_xlpm.history, 1), _xlfn.CHOOSECOLS(_xlpm.history, 2), NA()), NA())))</f>
        <v/>
      </c>
      <c r="GV2" s="18" t="str" cm="1">
        <f t="array" aca="1" ref="GV2" ca="1">IF(GV$1="", "", _xlfn.LET(_xlpm.history, _xlfn.STOCKHISTORY(GV$1, TODAY()-365, TODAY(), 0, 0, 0, 1),_xlfn.IFNA(_xlfn.XLOOKUP(_xlfn.ANCHORARRAY($A2), _xlfn.CHOOSECOLS(_xlpm.history, 1), _xlfn.CHOOSECOLS(_xlpm.history, 2), NA()), NA())))</f>
        <v/>
      </c>
      <c r="GW2" s="18" t="str" cm="1">
        <f t="array" aca="1" ref="GW2" ca="1">IF(GW$1="", "", _xlfn.LET(_xlpm.history, _xlfn.STOCKHISTORY(GW$1, TODAY()-365, TODAY(), 0, 0, 0, 1),_xlfn.IFNA(_xlfn.XLOOKUP(_xlfn.ANCHORARRAY($A2), _xlfn.CHOOSECOLS(_xlpm.history, 1), _xlfn.CHOOSECOLS(_xlpm.history, 2), NA()), NA())))</f>
        <v/>
      </c>
      <c r="GX2" s="18" t="str" cm="1">
        <f t="array" aca="1" ref="GX2" ca="1">IF(GX$1="", "", _xlfn.LET(_xlpm.history, _xlfn.STOCKHISTORY(GX$1, TODAY()-365, TODAY(), 0, 0, 0, 1),_xlfn.IFNA(_xlfn.XLOOKUP(_xlfn.ANCHORARRAY($A2), _xlfn.CHOOSECOLS(_xlpm.history, 1), _xlfn.CHOOSECOLS(_xlpm.history, 2), NA()), NA())))</f>
        <v/>
      </c>
      <c r="GY2" s="18" t="str" cm="1">
        <f t="array" aca="1" ref="GY2" ca="1">IF(GY$1="", "", _xlfn.LET(_xlpm.history, _xlfn.STOCKHISTORY(GY$1, TODAY()-365, TODAY(), 0, 0, 0, 1),_xlfn.IFNA(_xlfn.XLOOKUP(_xlfn.ANCHORARRAY($A2), _xlfn.CHOOSECOLS(_xlpm.history, 1), _xlfn.CHOOSECOLS(_xlpm.history, 2), NA()), NA())))</f>
        <v/>
      </c>
      <c r="GZ2" s="18" t="str" cm="1">
        <f t="array" aca="1" ref="GZ2" ca="1">IF(GZ$1="", "", _xlfn.LET(_xlpm.history, _xlfn.STOCKHISTORY(GZ$1, TODAY()-365, TODAY(), 0, 0, 0, 1),_xlfn.IFNA(_xlfn.XLOOKUP(_xlfn.ANCHORARRAY($A2), _xlfn.CHOOSECOLS(_xlpm.history, 1), _xlfn.CHOOSECOLS(_xlpm.history, 2), NA()), NA())))</f>
        <v/>
      </c>
      <c r="HA2" s="18" t="str" cm="1">
        <f t="array" aca="1" ref="HA2" ca="1">IF(HA$1="", "", _xlfn.LET(_xlpm.history, _xlfn.STOCKHISTORY(HA$1, TODAY()-365, TODAY(), 0, 0, 0, 1),_xlfn.IFNA(_xlfn.XLOOKUP(_xlfn.ANCHORARRAY($A2), _xlfn.CHOOSECOLS(_xlpm.history, 1), _xlfn.CHOOSECOLS(_xlpm.history, 2), NA()), NA())))</f>
        <v/>
      </c>
      <c r="HB2" s="18" t="str" cm="1">
        <f t="array" aca="1" ref="HB2" ca="1">IF(HB$1="", "", _xlfn.LET(_xlpm.history, _xlfn.STOCKHISTORY(HB$1, TODAY()-365, TODAY(), 0, 0, 0, 1),_xlfn.IFNA(_xlfn.XLOOKUP(_xlfn.ANCHORARRAY($A2), _xlfn.CHOOSECOLS(_xlpm.history, 1), _xlfn.CHOOSECOLS(_xlpm.history, 2), NA()), NA())))</f>
        <v/>
      </c>
      <c r="HC2" s="18" t="str" cm="1">
        <f t="array" aca="1" ref="HC2" ca="1">IF(HC$1="", "", _xlfn.LET(_xlpm.history, _xlfn.STOCKHISTORY(HC$1, TODAY()-365, TODAY(), 0, 0, 0, 1),_xlfn.IFNA(_xlfn.XLOOKUP(_xlfn.ANCHORARRAY($A2), _xlfn.CHOOSECOLS(_xlpm.history, 1), _xlfn.CHOOSECOLS(_xlpm.history, 2), NA()), NA())))</f>
        <v/>
      </c>
      <c r="HD2" s="18" t="str" cm="1">
        <f t="array" aca="1" ref="HD2" ca="1">IF(HD$1="", "", _xlfn.LET(_xlpm.history, _xlfn.STOCKHISTORY(HD$1, TODAY()-365, TODAY(), 0, 0, 0, 1),_xlfn.IFNA(_xlfn.XLOOKUP(_xlfn.ANCHORARRAY($A2), _xlfn.CHOOSECOLS(_xlpm.history, 1), _xlfn.CHOOSECOLS(_xlpm.history, 2), NA()), NA())))</f>
        <v/>
      </c>
      <c r="HE2" s="18" t="str" cm="1">
        <f t="array" aca="1" ref="HE2" ca="1">IF(HE$1="", "", _xlfn.LET(_xlpm.history, _xlfn.STOCKHISTORY(HE$1, TODAY()-365, TODAY(), 0, 0, 0, 1),_xlfn.IFNA(_xlfn.XLOOKUP(_xlfn.ANCHORARRAY($A2), _xlfn.CHOOSECOLS(_xlpm.history, 1), _xlfn.CHOOSECOLS(_xlpm.history, 2), NA()), NA())))</f>
        <v/>
      </c>
      <c r="HF2" s="18" t="str" cm="1">
        <f t="array" aca="1" ref="HF2" ca="1">IF(HF$1="", "", _xlfn.LET(_xlpm.history, _xlfn.STOCKHISTORY(HF$1, TODAY()-365, TODAY(), 0, 0, 0, 1),_xlfn.IFNA(_xlfn.XLOOKUP(_xlfn.ANCHORARRAY($A2), _xlfn.CHOOSECOLS(_xlpm.history, 1), _xlfn.CHOOSECOLS(_xlpm.history, 2), NA()), NA())))</f>
        <v/>
      </c>
      <c r="HG2" s="18" t="str" cm="1">
        <f t="array" aca="1" ref="HG2" ca="1">IF(HG$1="", "", _xlfn.LET(_xlpm.history, _xlfn.STOCKHISTORY(HG$1, TODAY()-365, TODAY(), 0, 0, 0, 1),_xlfn.IFNA(_xlfn.XLOOKUP(_xlfn.ANCHORARRAY($A2), _xlfn.CHOOSECOLS(_xlpm.history, 1), _xlfn.CHOOSECOLS(_xlpm.history, 2), NA()), NA())))</f>
        <v/>
      </c>
      <c r="HH2" s="18" t="str" cm="1">
        <f t="array" aca="1" ref="HH2" ca="1">IF(HH$1="", "", _xlfn.LET(_xlpm.history, _xlfn.STOCKHISTORY(HH$1, TODAY()-365, TODAY(), 0, 0, 0, 1),_xlfn.IFNA(_xlfn.XLOOKUP(_xlfn.ANCHORARRAY($A2), _xlfn.CHOOSECOLS(_xlpm.history, 1), _xlfn.CHOOSECOLS(_xlpm.history, 2), NA()), NA())))</f>
        <v/>
      </c>
      <c r="HI2" s="18" t="str" cm="1">
        <f t="array" aca="1" ref="HI2" ca="1">IF(HI$1="", "", _xlfn.LET(_xlpm.history, _xlfn.STOCKHISTORY(HI$1, TODAY()-365, TODAY(), 0, 0, 0, 1),_xlfn.IFNA(_xlfn.XLOOKUP(_xlfn.ANCHORARRAY($A2), _xlfn.CHOOSECOLS(_xlpm.history, 1), _xlfn.CHOOSECOLS(_xlpm.history, 2), NA()), NA())))</f>
        <v/>
      </c>
      <c r="HJ2" s="18" t="str" cm="1">
        <f t="array" aca="1" ref="HJ2" ca="1">IF(HJ$1="", "", _xlfn.LET(_xlpm.history, _xlfn.STOCKHISTORY(HJ$1, TODAY()-365, TODAY(), 0, 0, 0, 1),_xlfn.IFNA(_xlfn.XLOOKUP(_xlfn.ANCHORARRAY($A2), _xlfn.CHOOSECOLS(_xlpm.history, 1), _xlfn.CHOOSECOLS(_xlpm.history, 2), NA()), NA())))</f>
        <v/>
      </c>
      <c r="HK2" s="18" t="str" cm="1">
        <f t="array" aca="1" ref="HK2" ca="1">IF(HK$1="", "", _xlfn.LET(_xlpm.history, _xlfn.STOCKHISTORY(HK$1, TODAY()-365, TODAY(), 0, 0, 0, 1),_xlfn.IFNA(_xlfn.XLOOKUP(_xlfn.ANCHORARRAY($A2), _xlfn.CHOOSECOLS(_xlpm.history, 1), _xlfn.CHOOSECOLS(_xlpm.history, 2), NA()), NA())))</f>
        <v/>
      </c>
      <c r="HL2" s="18" t="str" cm="1">
        <f t="array" aca="1" ref="HL2" ca="1">IF(HL$1="", "", _xlfn.LET(_xlpm.history, _xlfn.STOCKHISTORY(HL$1, TODAY()-365, TODAY(), 0, 0, 0, 1),_xlfn.IFNA(_xlfn.XLOOKUP(_xlfn.ANCHORARRAY($A2), _xlfn.CHOOSECOLS(_xlpm.history, 1), _xlfn.CHOOSECOLS(_xlpm.history, 2), NA()), NA())))</f>
        <v/>
      </c>
      <c r="HM2" s="18" t="str" cm="1">
        <f t="array" aca="1" ref="HM2" ca="1">IF(HM$1="", "", _xlfn.LET(_xlpm.history, _xlfn.STOCKHISTORY(HM$1, TODAY()-365, TODAY(), 0, 0, 0, 1),_xlfn.IFNA(_xlfn.XLOOKUP(_xlfn.ANCHORARRAY($A2), _xlfn.CHOOSECOLS(_xlpm.history, 1), _xlfn.CHOOSECOLS(_xlpm.history, 2), NA()), NA())))</f>
        <v/>
      </c>
      <c r="HN2" s="18" t="str" cm="1">
        <f t="array" aca="1" ref="HN2" ca="1">IF(HN$1="", "", _xlfn.LET(_xlpm.history, _xlfn.STOCKHISTORY(HN$1, TODAY()-365, TODAY(), 0, 0, 0, 1),_xlfn.IFNA(_xlfn.XLOOKUP(_xlfn.ANCHORARRAY($A2), _xlfn.CHOOSECOLS(_xlpm.history, 1), _xlfn.CHOOSECOLS(_xlpm.history, 2), NA()), NA())))</f>
        <v/>
      </c>
      <c r="HO2" s="18" t="str" cm="1">
        <f t="array" aca="1" ref="HO2" ca="1">IF(HO$1="", "", _xlfn.LET(_xlpm.history, _xlfn.STOCKHISTORY(HO$1, TODAY()-365, TODAY(), 0, 0, 0, 1),_xlfn.IFNA(_xlfn.XLOOKUP(_xlfn.ANCHORARRAY($A2), _xlfn.CHOOSECOLS(_xlpm.history, 1), _xlfn.CHOOSECOLS(_xlpm.history, 2), NA()), NA())))</f>
        <v/>
      </c>
      <c r="HP2" s="18" t="str" cm="1">
        <f t="array" aca="1" ref="HP2" ca="1">IF(HP$1="", "", _xlfn.LET(_xlpm.history, _xlfn.STOCKHISTORY(HP$1, TODAY()-365, TODAY(), 0, 0, 0, 1),_xlfn.IFNA(_xlfn.XLOOKUP(_xlfn.ANCHORARRAY($A2), _xlfn.CHOOSECOLS(_xlpm.history, 1), _xlfn.CHOOSECOLS(_xlpm.history, 2), NA()), NA())))</f>
        <v/>
      </c>
      <c r="HQ2" s="18" t="str" cm="1">
        <f t="array" aca="1" ref="HQ2" ca="1">IF(HQ$1="", "", _xlfn.LET(_xlpm.history, _xlfn.STOCKHISTORY(HQ$1, TODAY()-365, TODAY(), 0, 0, 0, 1),_xlfn.IFNA(_xlfn.XLOOKUP(_xlfn.ANCHORARRAY($A2), _xlfn.CHOOSECOLS(_xlpm.history, 1), _xlfn.CHOOSECOLS(_xlpm.history, 2), NA()), NA())))</f>
        <v/>
      </c>
      <c r="HR2" s="18" t="str" cm="1">
        <f t="array" aca="1" ref="HR2" ca="1">IF(HR$1="", "", _xlfn.LET(_xlpm.history, _xlfn.STOCKHISTORY(HR$1, TODAY()-365, TODAY(), 0, 0, 0, 1),_xlfn.IFNA(_xlfn.XLOOKUP(_xlfn.ANCHORARRAY($A2), _xlfn.CHOOSECOLS(_xlpm.history, 1), _xlfn.CHOOSECOLS(_xlpm.history, 2), NA()), NA())))</f>
        <v/>
      </c>
      <c r="HS2" s="18" t="str" cm="1">
        <f t="array" aca="1" ref="HS2" ca="1">IF(HS$1="", "", _xlfn.LET(_xlpm.history, _xlfn.STOCKHISTORY(HS$1, TODAY()-365, TODAY(), 0, 0, 0, 1),_xlfn.IFNA(_xlfn.XLOOKUP(_xlfn.ANCHORARRAY($A2), _xlfn.CHOOSECOLS(_xlpm.history, 1), _xlfn.CHOOSECOLS(_xlpm.history, 2), NA()), NA())))</f>
        <v/>
      </c>
      <c r="HT2" s="18" t="str" cm="1">
        <f t="array" aca="1" ref="HT2" ca="1">IF(HT$1="", "", _xlfn.LET(_xlpm.history, _xlfn.STOCKHISTORY(HT$1, TODAY()-365, TODAY(), 0, 0, 0, 1),_xlfn.IFNA(_xlfn.XLOOKUP(_xlfn.ANCHORARRAY($A2), _xlfn.CHOOSECOLS(_xlpm.history, 1), _xlfn.CHOOSECOLS(_xlpm.history, 2), NA()), NA())))</f>
        <v/>
      </c>
      <c r="HU2" s="18" t="str" cm="1">
        <f t="array" aca="1" ref="HU2" ca="1">IF(HU$1="", "", _xlfn.LET(_xlpm.history, _xlfn.STOCKHISTORY(HU$1, TODAY()-365, TODAY(), 0, 0, 0, 1),_xlfn.IFNA(_xlfn.XLOOKUP(_xlfn.ANCHORARRAY($A2), _xlfn.CHOOSECOLS(_xlpm.history, 1), _xlfn.CHOOSECOLS(_xlpm.history, 2), NA()), NA())))</f>
        <v/>
      </c>
      <c r="HV2" s="18" t="str" cm="1">
        <f t="array" aca="1" ref="HV2" ca="1">IF(HV$1="", "", _xlfn.LET(_xlpm.history, _xlfn.STOCKHISTORY(HV$1, TODAY()-365, TODAY(), 0, 0, 0, 1),_xlfn.IFNA(_xlfn.XLOOKUP(_xlfn.ANCHORARRAY($A2), _xlfn.CHOOSECOLS(_xlpm.history, 1), _xlfn.CHOOSECOLS(_xlpm.history, 2), NA()), NA())))</f>
        <v/>
      </c>
      <c r="HW2" s="18" t="str" cm="1">
        <f t="array" aca="1" ref="HW2" ca="1">IF(HW$1="", "", _xlfn.LET(_xlpm.history, _xlfn.STOCKHISTORY(HW$1, TODAY()-365, TODAY(), 0, 0, 0, 1),_xlfn.IFNA(_xlfn.XLOOKUP(_xlfn.ANCHORARRAY($A2), _xlfn.CHOOSECOLS(_xlpm.history, 1), _xlfn.CHOOSECOLS(_xlpm.history, 2), NA()), NA())))</f>
        <v/>
      </c>
      <c r="HX2" s="18" t="str" cm="1">
        <f t="array" aca="1" ref="HX2" ca="1">IF(HX$1="", "", _xlfn.LET(_xlpm.history, _xlfn.STOCKHISTORY(HX$1, TODAY()-365, TODAY(), 0, 0, 0, 1),_xlfn.IFNA(_xlfn.XLOOKUP(_xlfn.ANCHORARRAY($A2), _xlfn.CHOOSECOLS(_xlpm.history, 1), _xlfn.CHOOSECOLS(_xlpm.history, 2), NA()), NA())))</f>
        <v/>
      </c>
      <c r="HY2" s="18" t="str" cm="1">
        <f t="array" aca="1" ref="HY2" ca="1">IF(HY$1="", "", _xlfn.LET(_xlpm.history, _xlfn.STOCKHISTORY(HY$1, TODAY()-365, TODAY(), 0, 0, 0, 1),_xlfn.IFNA(_xlfn.XLOOKUP(_xlfn.ANCHORARRAY($A2), _xlfn.CHOOSECOLS(_xlpm.history, 1), _xlfn.CHOOSECOLS(_xlpm.history, 2), NA()), NA())))</f>
        <v/>
      </c>
      <c r="HZ2" s="18" t="str" cm="1">
        <f t="array" aca="1" ref="HZ2" ca="1">IF(HZ$1="", "", _xlfn.LET(_xlpm.history, _xlfn.STOCKHISTORY(HZ$1, TODAY()-365, TODAY(), 0, 0, 0, 1),_xlfn.IFNA(_xlfn.XLOOKUP(_xlfn.ANCHORARRAY($A2), _xlfn.CHOOSECOLS(_xlpm.history, 1), _xlfn.CHOOSECOLS(_xlpm.history, 2), NA()), NA())))</f>
        <v/>
      </c>
      <c r="IA2" s="18" t="str" cm="1">
        <f t="array" aca="1" ref="IA2" ca="1">IF(IA$1="", "", _xlfn.LET(_xlpm.history, _xlfn.STOCKHISTORY(IA$1, TODAY()-365, TODAY(), 0, 0, 0, 1),_xlfn.IFNA(_xlfn.XLOOKUP(_xlfn.ANCHORARRAY($A2), _xlfn.CHOOSECOLS(_xlpm.history, 1), _xlfn.CHOOSECOLS(_xlpm.history, 2), NA()), NA())))</f>
        <v/>
      </c>
      <c r="IB2" s="18" t="str" cm="1">
        <f t="array" aca="1" ref="IB2" ca="1">IF(IB$1="", "", _xlfn.LET(_xlpm.history, _xlfn.STOCKHISTORY(IB$1, TODAY()-365, TODAY(), 0, 0, 0, 1),_xlfn.IFNA(_xlfn.XLOOKUP(_xlfn.ANCHORARRAY($A2), _xlfn.CHOOSECOLS(_xlpm.history, 1), _xlfn.CHOOSECOLS(_xlpm.history, 2), NA()), NA())))</f>
        <v/>
      </c>
      <c r="IC2" s="18" t="str" cm="1">
        <f t="array" aca="1" ref="IC2" ca="1">IF(IC$1="", "", _xlfn.LET(_xlpm.history, _xlfn.STOCKHISTORY(IC$1, TODAY()-365, TODAY(), 0, 0, 0, 1),_xlfn.IFNA(_xlfn.XLOOKUP(_xlfn.ANCHORARRAY($A2), _xlfn.CHOOSECOLS(_xlpm.history, 1), _xlfn.CHOOSECOLS(_xlpm.history, 2), NA()), NA())))</f>
        <v/>
      </c>
      <c r="ID2" s="18" t="str" cm="1">
        <f t="array" aca="1" ref="ID2" ca="1">IF(ID$1="", "", _xlfn.LET(_xlpm.history, _xlfn.STOCKHISTORY(ID$1, TODAY()-365, TODAY(), 0, 0, 0, 1),_xlfn.IFNA(_xlfn.XLOOKUP(_xlfn.ANCHORARRAY($A2), _xlfn.CHOOSECOLS(_xlpm.history, 1), _xlfn.CHOOSECOLS(_xlpm.history, 2), NA()), NA())))</f>
        <v/>
      </c>
      <c r="IE2" s="18" t="str" cm="1">
        <f t="array" aca="1" ref="IE2" ca="1">IF(IE$1="", "", _xlfn.LET(_xlpm.history, _xlfn.STOCKHISTORY(IE$1, TODAY()-365, TODAY(), 0, 0, 0, 1),_xlfn.IFNA(_xlfn.XLOOKUP(_xlfn.ANCHORARRAY($A2), _xlfn.CHOOSECOLS(_xlpm.history, 1), _xlfn.CHOOSECOLS(_xlpm.history, 2), NA()), NA())))</f>
        <v/>
      </c>
      <c r="IF2" s="18" t="str" cm="1">
        <f t="array" aca="1" ref="IF2" ca="1">IF(IF$1="", "", _xlfn.LET(_xlpm.history, _xlfn.STOCKHISTORY(IF$1, TODAY()-365, TODAY(), 0, 0, 0, 1),_xlfn.IFNA(_xlfn.XLOOKUP(_xlfn.ANCHORARRAY($A2), _xlfn.CHOOSECOLS(_xlpm.history, 1), _xlfn.CHOOSECOLS(_xlpm.history, 2), NA()), NA())))</f>
        <v/>
      </c>
      <c r="IG2" s="18" t="str" cm="1">
        <f t="array" aca="1" ref="IG2" ca="1">IF(IG$1="", "", _xlfn.LET(_xlpm.history, _xlfn.STOCKHISTORY(IG$1, TODAY()-365, TODAY(), 0, 0, 0, 1),_xlfn.IFNA(_xlfn.XLOOKUP(_xlfn.ANCHORARRAY($A2), _xlfn.CHOOSECOLS(_xlpm.history, 1), _xlfn.CHOOSECOLS(_xlpm.history, 2), NA()), NA())))</f>
        <v/>
      </c>
      <c r="IH2" s="18" t="str" cm="1">
        <f t="array" aca="1" ref="IH2" ca="1">IF(IH$1="", "", _xlfn.LET(_xlpm.history, _xlfn.STOCKHISTORY(IH$1, TODAY()-365, TODAY(), 0, 0, 0, 1),_xlfn.IFNA(_xlfn.XLOOKUP(_xlfn.ANCHORARRAY($A2), _xlfn.CHOOSECOLS(_xlpm.history, 1), _xlfn.CHOOSECOLS(_xlpm.history, 2), NA()), NA())))</f>
        <v/>
      </c>
      <c r="II2" s="18" t="str" cm="1">
        <f t="array" aca="1" ref="II2" ca="1">IF(II$1="", "", _xlfn.LET(_xlpm.history, _xlfn.STOCKHISTORY(II$1, TODAY()-365, TODAY(), 0, 0, 0, 1),_xlfn.IFNA(_xlfn.XLOOKUP(_xlfn.ANCHORARRAY($A2), _xlfn.CHOOSECOLS(_xlpm.history, 1), _xlfn.CHOOSECOLS(_xlpm.history, 2), NA()), NA())))</f>
        <v/>
      </c>
      <c r="IJ2" s="18" t="str" cm="1">
        <f t="array" aca="1" ref="IJ2" ca="1">IF(IJ$1="", "", _xlfn.LET(_xlpm.history, _xlfn.STOCKHISTORY(IJ$1, TODAY()-365, TODAY(), 0, 0, 0, 1),_xlfn.IFNA(_xlfn.XLOOKUP(_xlfn.ANCHORARRAY($A2), _xlfn.CHOOSECOLS(_xlpm.history, 1), _xlfn.CHOOSECOLS(_xlpm.history, 2), NA()), NA())))</f>
        <v/>
      </c>
      <c r="IK2" s="18" t="str" cm="1">
        <f t="array" aca="1" ref="IK2" ca="1">IF(IK$1="", "", _xlfn.LET(_xlpm.history, _xlfn.STOCKHISTORY(IK$1, TODAY()-365, TODAY(), 0, 0, 0, 1),_xlfn.IFNA(_xlfn.XLOOKUP(_xlfn.ANCHORARRAY($A2), _xlfn.CHOOSECOLS(_xlpm.history, 1), _xlfn.CHOOSECOLS(_xlpm.history, 2), NA()), NA())))</f>
        <v/>
      </c>
      <c r="IL2" s="18" t="str" cm="1">
        <f t="array" aca="1" ref="IL2" ca="1">IF(IL$1="", "", _xlfn.LET(_xlpm.history, _xlfn.STOCKHISTORY(IL$1, TODAY()-365, TODAY(), 0, 0, 0, 1),_xlfn.IFNA(_xlfn.XLOOKUP(_xlfn.ANCHORARRAY($A2), _xlfn.CHOOSECOLS(_xlpm.history, 1), _xlfn.CHOOSECOLS(_xlpm.history, 2), NA()), NA())))</f>
        <v/>
      </c>
      <c r="IM2" s="18" t="str" cm="1">
        <f t="array" aca="1" ref="IM2" ca="1">IF(IM$1="", "", _xlfn.LET(_xlpm.history, _xlfn.STOCKHISTORY(IM$1, TODAY()-365, TODAY(), 0, 0, 0, 1),_xlfn.IFNA(_xlfn.XLOOKUP(_xlfn.ANCHORARRAY($A2), _xlfn.CHOOSECOLS(_xlpm.history, 1), _xlfn.CHOOSECOLS(_xlpm.history, 2), NA()), NA())))</f>
        <v/>
      </c>
      <c r="IN2" s="18" t="str" cm="1">
        <f t="array" aca="1" ref="IN2" ca="1">IF(IN$1="", "", _xlfn.LET(_xlpm.history, _xlfn.STOCKHISTORY(IN$1, TODAY()-365, TODAY(), 0, 0, 0, 1),_xlfn.IFNA(_xlfn.XLOOKUP(_xlfn.ANCHORARRAY($A2), _xlfn.CHOOSECOLS(_xlpm.history, 1), _xlfn.CHOOSECOLS(_xlpm.history, 2), NA()), NA())))</f>
        <v/>
      </c>
      <c r="IO2" s="18" t="str" cm="1">
        <f t="array" aca="1" ref="IO2" ca="1">IF(IO$1="", "", _xlfn.LET(_xlpm.history, _xlfn.STOCKHISTORY(IO$1, TODAY()-365, TODAY(), 0, 0, 0, 1),_xlfn.IFNA(_xlfn.XLOOKUP(_xlfn.ANCHORARRAY($A2), _xlfn.CHOOSECOLS(_xlpm.history, 1), _xlfn.CHOOSECOLS(_xlpm.history, 2), NA()), NA())))</f>
        <v/>
      </c>
      <c r="IP2" s="18" t="str" cm="1">
        <f t="array" aca="1" ref="IP2" ca="1">IF(IP$1="", "", _xlfn.LET(_xlpm.history, _xlfn.STOCKHISTORY(IP$1, TODAY()-365, TODAY(), 0, 0, 0, 1),_xlfn.IFNA(_xlfn.XLOOKUP(_xlfn.ANCHORARRAY($A2), _xlfn.CHOOSECOLS(_xlpm.history, 1), _xlfn.CHOOSECOLS(_xlpm.history, 2), NA()), NA())))</f>
        <v/>
      </c>
    </row>
    <row r="3" spans="1:250" ht="20" customHeight="1" x14ac:dyDescent="0.2">
      <c r="A3" vm="35">
        <f ca="1"/>
        <v>45959</v>
      </c>
      <c r="B3" vm="36">
        <f ca="1"/>
        <v>275.17</v>
      </c>
      <c r="C3" vm="37">
        <f ca="1"/>
        <v>139.93</v>
      </c>
      <c r="D3" vm="38">
        <f ca="1"/>
        <v>199.27</v>
      </c>
      <c r="E3" vm="39">
        <f ca="1"/>
        <v>70.489999999999995</v>
      </c>
      <c r="F3" vm="40">
        <f ca="1"/>
        <v>68.349999999999994</v>
      </c>
      <c r="G3" vm="41">
        <f ca="1"/>
        <v>8.6</v>
      </c>
      <c r="H3" vm="42">
        <f ca="1"/>
        <v>102.46</v>
      </c>
      <c r="I3" vm="43">
        <f ca="1"/>
        <v>541.54999999999995</v>
      </c>
      <c r="J3" vm="44">
        <f ca="1"/>
        <v>269.7</v>
      </c>
      <c r="K3" vm="45">
        <f ca="1"/>
        <v>385.98</v>
      </c>
      <c r="L3" vm="46">
        <f ca="1"/>
        <v>69.19</v>
      </c>
      <c r="M3" vm="47">
        <f ca="1"/>
        <v>912.42</v>
      </c>
      <c r="N3" vm="48">
        <f ca="1"/>
        <v>230.3</v>
      </c>
      <c r="O3" vm="49">
        <f ca="1"/>
        <v>88.08</v>
      </c>
      <c r="P3" vm="50">
        <f ca="1"/>
        <v>155.1</v>
      </c>
      <c r="Q3" vm="51">
        <f ca="1"/>
        <v>75.55</v>
      </c>
      <c r="R3" t="e">
        <f ca="1"/>
        <v>#N/A</v>
      </c>
    </row>
    <row r="4" spans="1:250" ht="20" customHeight="1" x14ac:dyDescent="0.2">
      <c r="A4" vm="52">
        <f ca="1"/>
        <v>45960</v>
      </c>
      <c r="B4" vm="53">
        <f ca="1"/>
        <v>281.89999999999998</v>
      </c>
      <c r="C4" vm="54">
        <f ca="1"/>
        <v>131.06</v>
      </c>
      <c r="D4" vm="55">
        <f ca="1"/>
        <v>193.76</v>
      </c>
      <c r="E4" vm="56">
        <f ca="1"/>
        <v>70.37</v>
      </c>
      <c r="F4" vm="57">
        <f ca="1"/>
        <v>68.98</v>
      </c>
      <c r="G4" vm="58">
        <f ca="1"/>
        <v>8.2100000000000009</v>
      </c>
      <c r="H4" vm="59">
        <f ca="1"/>
        <v>102.23</v>
      </c>
      <c r="I4" vm="60">
        <f ca="1"/>
        <v>525.76</v>
      </c>
      <c r="J4" vm="61">
        <f ca="1"/>
        <v>271.39999999999998</v>
      </c>
      <c r="K4" vm="62">
        <f ca="1"/>
        <v>376.47</v>
      </c>
      <c r="L4" vm="63">
        <f ca="1"/>
        <v>68.510000000000005</v>
      </c>
      <c r="M4" vm="64">
        <f ca="1"/>
        <v>920.18</v>
      </c>
      <c r="N4" vm="65">
        <f ca="1"/>
        <v>222.86</v>
      </c>
      <c r="O4" vm="66">
        <f ca="1"/>
        <v>88.14</v>
      </c>
      <c r="P4" vm="67">
        <f ca="1"/>
        <v>153.52000000000001</v>
      </c>
      <c r="Q4" vm="68">
        <f ca="1"/>
        <v>74.73</v>
      </c>
      <c r="R4" t="e">
        <f ca="1"/>
        <v>#N/A</v>
      </c>
    </row>
    <row r="5" spans="1:250" ht="20" customHeight="1" x14ac:dyDescent="0.2">
      <c r="A5" vm="69">
        <f ca="1"/>
        <v>45961</v>
      </c>
      <c r="B5" vm="70">
        <f ca="1"/>
        <v>281.82</v>
      </c>
      <c r="C5" vm="71">
        <f ca="1"/>
        <v>133.71</v>
      </c>
      <c r="D5" vm="72">
        <f ca="1"/>
        <v>192.86</v>
      </c>
      <c r="E5" vm="73">
        <f ca="1"/>
        <v>70.069999999999993</v>
      </c>
      <c r="F5" vm="74">
        <f ca="1"/>
        <v>68.900000000000006</v>
      </c>
      <c r="G5" vm="41">
        <f ca="1"/>
        <v>8.6</v>
      </c>
      <c r="H5" vm="75">
        <f ca="1"/>
        <v>101.18</v>
      </c>
      <c r="I5" vm="76">
        <f ca="1"/>
        <v>517.80999999999995</v>
      </c>
      <c r="J5" vm="77">
        <f ca="1"/>
        <v>270.37</v>
      </c>
      <c r="K5" vm="78">
        <f ca="1"/>
        <v>369.63</v>
      </c>
      <c r="L5" vm="79">
        <f ca="1"/>
        <v>70.36</v>
      </c>
      <c r="M5" vm="80">
        <f ca="1"/>
        <v>911.45</v>
      </c>
      <c r="N5" vm="81">
        <f ca="1"/>
        <v>244.22</v>
      </c>
      <c r="O5" vm="82">
        <f ca="1"/>
        <v>88.86</v>
      </c>
      <c r="P5" vm="83">
        <f ca="1"/>
        <v>157.72</v>
      </c>
      <c r="Q5" vm="84">
        <f ca="1"/>
        <v>74.92</v>
      </c>
      <c r="R5" t="e">
        <f ca="1"/>
        <v>#N/A</v>
      </c>
    </row>
    <row r="6" spans="1:250" ht="20" customHeight="1" x14ac:dyDescent="0.2">
      <c r="A6" vm="85">
        <f ca="1"/>
        <v>45964</v>
      </c>
      <c r="B6" vm="86">
        <f ca="1"/>
        <v>284.12</v>
      </c>
      <c r="C6" vm="87">
        <f ca="1"/>
        <v>126.32</v>
      </c>
      <c r="D6" vm="88">
        <f ca="1"/>
        <v>191.4</v>
      </c>
      <c r="E6" vm="89">
        <f ca="1"/>
        <v>70.459999999999994</v>
      </c>
      <c r="F6" vm="90">
        <f ca="1"/>
        <v>67.97</v>
      </c>
      <c r="G6" vm="91">
        <f ca="1"/>
        <v>8.91</v>
      </c>
      <c r="H6" vm="92">
        <f ca="1"/>
        <v>101.59</v>
      </c>
      <c r="I6" vm="93">
        <f ca="1"/>
        <v>517.03</v>
      </c>
      <c r="J6" vm="94">
        <f ca="1"/>
        <v>269.05</v>
      </c>
      <c r="K6" vm="95">
        <f ca="1"/>
        <v>362.55</v>
      </c>
      <c r="L6" vm="96">
        <f ca="1"/>
        <v>73.08</v>
      </c>
      <c r="M6" vm="97">
        <f ca="1"/>
        <v>928.04</v>
      </c>
      <c r="N6" vm="98">
        <f ca="1"/>
        <v>254</v>
      </c>
      <c r="O6" vm="99">
        <f ca="1"/>
        <v>88.57</v>
      </c>
      <c r="P6" vm="100">
        <f ca="1"/>
        <v>154.04</v>
      </c>
      <c r="Q6" vm="101">
        <f ca="1"/>
        <v>74.39</v>
      </c>
      <c r="R6" t="e">
        <f ca="1"/>
        <v>#N/A</v>
      </c>
    </row>
    <row r="7" spans="1:250" ht="20" customHeight="1" x14ac:dyDescent="0.2">
      <c r="A7" vm="102">
        <f ca="1"/>
        <v>45965</v>
      </c>
      <c r="B7" vm="103">
        <f ca="1"/>
        <v>278.06</v>
      </c>
      <c r="C7" vm="104">
        <f ca="1"/>
        <v>115.75</v>
      </c>
      <c r="D7" vm="105">
        <f ca="1"/>
        <v>180.82</v>
      </c>
      <c r="E7" vm="106">
        <f ca="1"/>
        <v>69.849999999999994</v>
      </c>
      <c r="F7" vm="107">
        <f ca="1"/>
        <v>68.66</v>
      </c>
      <c r="G7" vm="108">
        <f ca="1"/>
        <v>8.52</v>
      </c>
      <c r="H7" vm="109">
        <f ca="1"/>
        <v>102.27</v>
      </c>
      <c r="I7" vm="110">
        <f ca="1"/>
        <v>514.33000000000004</v>
      </c>
      <c r="J7" vm="111">
        <f ca="1"/>
        <v>270.04000000000002</v>
      </c>
      <c r="K7" vm="112">
        <f ca="1"/>
        <v>351.94</v>
      </c>
      <c r="L7" vm="113">
        <f ca="1"/>
        <v>70.69</v>
      </c>
      <c r="M7" vm="114">
        <f ca="1"/>
        <v>940.74</v>
      </c>
      <c r="N7" vm="115">
        <f ca="1"/>
        <v>249.32</v>
      </c>
      <c r="O7" vm="116">
        <f ca="1"/>
        <v>87.91</v>
      </c>
      <c r="P7" vm="117">
        <f ca="1"/>
        <v>153.38999999999999</v>
      </c>
      <c r="Q7" vm="118">
        <f ca="1"/>
        <v>73.739999999999995</v>
      </c>
      <c r="R7" t="e">
        <f ca="1"/>
        <v>#N/A</v>
      </c>
    </row>
    <row r="8" spans="1:250" ht="20" customHeight="1" x14ac:dyDescent="0.2">
      <c r="A8" vm="119">
        <f ca="1"/>
        <v>45966</v>
      </c>
      <c r="B8" vm="120">
        <f ca="1"/>
        <v>284.75</v>
      </c>
      <c r="C8" vm="121">
        <f ca="1"/>
        <v>114.42</v>
      </c>
      <c r="D8" vm="122">
        <f ca="1"/>
        <v>190.71</v>
      </c>
      <c r="E8" vm="123">
        <f ca="1"/>
        <v>70.92</v>
      </c>
      <c r="F8" vm="63">
        <f ca="1"/>
        <v>68.510000000000005</v>
      </c>
      <c r="G8" vm="124">
        <f ca="1"/>
        <v>8.5299999999999994</v>
      </c>
      <c r="H8" vm="125">
        <f ca="1"/>
        <v>101.47</v>
      </c>
      <c r="I8" vm="126">
        <f ca="1"/>
        <v>507.16</v>
      </c>
      <c r="J8" vm="127">
        <f ca="1"/>
        <v>270.14</v>
      </c>
      <c r="K8" vm="128">
        <f ca="1"/>
        <v>358.98</v>
      </c>
      <c r="L8" vm="129">
        <f ca="1"/>
        <v>71.62</v>
      </c>
      <c r="M8" vm="130">
        <f ca="1"/>
        <v>935.03</v>
      </c>
      <c r="N8" vm="131">
        <f ca="1"/>
        <v>250.2</v>
      </c>
      <c r="O8" vm="132">
        <f ca="1"/>
        <v>87.7</v>
      </c>
      <c r="P8" vm="133">
        <f ca="1"/>
        <v>152.66</v>
      </c>
      <c r="Q8" vm="134">
        <f ca="1"/>
        <v>74.61</v>
      </c>
      <c r="R8" t="e">
        <f ca="1"/>
        <v>#N/A</v>
      </c>
    </row>
    <row r="9" spans="1:250" ht="20" customHeight="1" x14ac:dyDescent="0.2">
      <c r="A9" vm="135">
        <f ca="1"/>
        <v>45967</v>
      </c>
      <c r="B9" vm="136">
        <f ca="1"/>
        <v>285.33999999999997</v>
      </c>
      <c r="C9" vm="137">
        <f ca="1"/>
        <v>106.93</v>
      </c>
      <c r="D9" vm="138">
        <f ca="1"/>
        <v>183.02</v>
      </c>
      <c r="E9" vm="139">
        <f ca="1"/>
        <v>72.010000000000005</v>
      </c>
      <c r="F9" vm="140">
        <f ca="1"/>
        <v>69.06</v>
      </c>
      <c r="G9" vm="141">
        <f ca="1"/>
        <v>8</v>
      </c>
      <c r="H9" vm="142">
        <f ca="1"/>
        <v>101.68</v>
      </c>
      <c r="I9" vm="143">
        <f ca="1"/>
        <v>497.1</v>
      </c>
      <c r="J9" vm="144">
        <f ca="1"/>
        <v>269.77</v>
      </c>
      <c r="K9" vm="145">
        <f ca="1"/>
        <v>355.59</v>
      </c>
      <c r="L9" vm="146">
        <f ca="1"/>
        <v>69.86</v>
      </c>
      <c r="M9" vm="147">
        <f ca="1"/>
        <v>923.58</v>
      </c>
      <c r="N9" vm="148">
        <f ca="1"/>
        <v>243.04</v>
      </c>
      <c r="O9" vm="149">
        <f ca="1"/>
        <v>85.66</v>
      </c>
      <c r="P9" vm="150">
        <f ca="1"/>
        <v>152.94</v>
      </c>
      <c r="Q9" vm="151">
        <f ca="1"/>
        <v>74.22</v>
      </c>
      <c r="R9" t="e">
        <f ca="1"/>
        <v>#N/A</v>
      </c>
    </row>
    <row r="10" spans="1:250" ht="20" customHeight="1" x14ac:dyDescent="0.2">
      <c r="A10" vm="152">
        <f ca="1"/>
        <v>45968</v>
      </c>
      <c r="B10" vm="153">
        <f ca="1"/>
        <v>279.7</v>
      </c>
      <c r="C10" vm="154">
        <f ca="1"/>
        <v>104.01</v>
      </c>
      <c r="D10" vm="155">
        <f ca="1"/>
        <v>179.8</v>
      </c>
      <c r="E10" vm="156">
        <f ca="1"/>
        <v>71.27</v>
      </c>
      <c r="F10" vm="157">
        <f ca="1"/>
        <v>70.55</v>
      </c>
      <c r="G10" vm="158">
        <f ca="1"/>
        <v>7.8</v>
      </c>
      <c r="H10" vm="159">
        <f ca="1"/>
        <v>102.59</v>
      </c>
      <c r="I10" vm="160">
        <f ca="1"/>
        <v>496.82</v>
      </c>
      <c r="J10" vm="161">
        <f ca="1"/>
        <v>268.47000000000003</v>
      </c>
      <c r="K10" vm="162">
        <f ca="1"/>
        <v>349.43</v>
      </c>
      <c r="L10" vm="163">
        <f ca="1"/>
        <v>70.540000000000006</v>
      </c>
      <c r="M10" vm="164">
        <f ca="1"/>
        <v>922.74</v>
      </c>
      <c r="N10" vm="165">
        <f ca="1"/>
        <v>244.41</v>
      </c>
      <c r="O10" vm="166">
        <f ca="1"/>
        <v>86.83</v>
      </c>
      <c r="P10" vm="167">
        <f ca="1"/>
        <v>155.02000000000001</v>
      </c>
      <c r="Q10" vm="168">
        <f ca="1"/>
        <v>75.59</v>
      </c>
      <c r="R10" t="e">
        <f ca="1"/>
        <v>#N/A</v>
      </c>
    </row>
    <row r="11" spans="1:250" ht="20" customHeight="1" x14ac:dyDescent="0.2">
      <c r="A11" vm="169">
        <f ca="1"/>
        <v>45971</v>
      </c>
      <c r="B11" vm="170">
        <f ca="1"/>
        <v>290.58999999999997</v>
      </c>
      <c r="C11" vm="171">
        <f ca="1"/>
        <v>105.61</v>
      </c>
      <c r="D11" vm="172">
        <f ca="1"/>
        <v>187.84</v>
      </c>
      <c r="E11" vm="173">
        <f ca="1"/>
        <v>72.040000000000006</v>
      </c>
      <c r="F11" vm="174">
        <f ca="1"/>
        <v>70.52</v>
      </c>
      <c r="G11" vm="175">
        <f ca="1"/>
        <v>8.25</v>
      </c>
      <c r="H11" vm="176">
        <f ca="1"/>
        <v>102.42</v>
      </c>
      <c r="I11" vm="177">
        <f ca="1"/>
        <v>506</v>
      </c>
      <c r="J11" vm="178">
        <f ca="1"/>
        <v>269.43</v>
      </c>
      <c r="K11" vm="179">
        <f ca="1"/>
        <v>358.39</v>
      </c>
      <c r="L11" vm="180">
        <f ca="1"/>
        <v>71.13</v>
      </c>
      <c r="M11" vm="181">
        <f ca="1"/>
        <v>915.56</v>
      </c>
      <c r="N11" vm="182">
        <f ca="1"/>
        <v>248.4</v>
      </c>
      <c r="O11" vm="183">
        <f ca="1"/>
        <v>88.23</v>
      </c>
      <c r="P11" vm="184">
        <f ca="1"/>
        <v>155.65</v>
      </c>
      <c r="Q11" vm="185">
        <f ca="1"/>
        <v>76.56</v>
      </c>
      <c r="R11" t="e">
        <f ca="1"/>
        <v>#N/A</v>
      </c>
    </row>
    <row r="12" spans="1:250" ht="20" customHeight="1" x14ac:dyDescent="0.2">
      <c r="A12" vm="186">
        <f ca="1"/>
        <v>45972</v>
      </c>
      <c r="B12" vm="187">
        <f ca="1"/>
        <v>291.74</v>
      </c>
      <c r="C12" vm="188">
        <f ca="1"/>
        <v>88.39</v>
      </c>
      <c r="D12" vm="189">
        <f ca="1"/>
        <v>179.05</v>
      </c>
      <c r="E12" vm="190">
        <f ca="1"/>
        <v>72.53</v>
      </c>
      <c r="F12" vm="191">
        <f ca="1"/>
        <v>71.61</v>
      </c>
      <c r="G12" vm="192">
        <f ca="1"/>
        <v>8.1999999999999993</v>
      </c>
      <c r="H12" vm="193">
        <f ca="1"/>
        <v>103.44</v>
      </c>
      <c r="I12" vm="194">
        <f ca="1"/>
        <v>508.68</v>
      </c>
      <c r="J12" vm="195">
        <f ca="1"/>
        <v>275.25</v>
      </c>
      <c r="K12" vm="196">
        <f ca="1"/>
        <v>351.96</v>
      </c>
      <c r="L12" vm="197">
        <f ca="1"/>
        <v>70.87</v>
      </c>
      <c r="M12" vm="198">
        <f ca="1"/>
        <v>913.86</v>
      </c>
      <c r="N12" vm="199">
        <f ca="1"/>
        <v>249.1</v>
      </c>
      <c r="O12" vm="200">
        <f ca="1"/>
        <v>90.69</v>
      </c>
      <c r="P12" vm="201">
        <f ca="1"/>
        <v>156.24</v>
      </c>
      <c r="Q12" vm="202">
        <f ca="1"/>
        <v>77.010000000000005</v>
      </c>
      <c r="R12" t="e">
        <f ca="1"/>
        <v>#N/A</v>
      </c>
    </row>
    <row r="13" spans="1:250" ht="20" customHeight="1" x14ac:dyDescent="0.2">
      <c r="A13" vm="203">
        <f ca="1"/>
        <v>45973</v>
      </c>
      <c r="B13" vm="204">
        <f ca="1"/>
        <v>287.43</v>
      </c>
      <c r="C13" vm="205">
        <f ca="1"/>
        <v>85.43</v>
      </c>
      <c r="D13" vm="206">
        <f ca="1"/>
        <v>173.37</v>
      </c>
      <c r="E13" vm="207">
        <f ca="1"/>
        <v>73.489999999999995</v>
      </c>
      <c r="F13" vm="208">
        <f ca="1"/>
        <v>71.510000000000005</v>
      </c>
      <c r="G13" vm="24">
        <f ca="1"/>
        <v>8.24</v>
      </c>
      <c r="H13" vm="193">
        <f ca="1"/>
        <v>103.44</v>
      </c>
      <c r="I13" vm="209">
        <f ca="1"/>
        <v>511.14</v>
      </c>
      <c r="J13" vm="210">
        <f ca="1"/>
        <v>273.47000000000003</v>
      </c>
      <c r="K13" vm="211">
        <f ca="1"/>
        <v>355.22</v>
      </c>
      <c r="L13" vm="212">
        <f ca="1"/>
        <v>72.7</v>
      </c>
      <c r="M13" vm="213">
        <f ca="1"/>
        <v>914</v>
      </c>
      <c r="N13" vm="214">
        <f ca="1"/>
        <v>244.2</v>
      </c>
      <c r="O13" vm="215">
        <f ca="1"/>
        <v>89.07</v>
      </c>
      <c r="P13" vm="216">
        <f ca="1"/>
        <v>153.32</v>
      </c>
      <c r="Q13" vm="217">
        <f ca="1"/>
        <v>76.41</v>
      </c>
      <c r="R13" t="e">
        <f ca="1"/>
        <v>#N/A</v>
      </c>
    </row>
    <row r="14" spans="1:250" ht="20" customHeight="1" x14ac:dyDescent="0.2">
      <c r="A14" vm="218">
        <f ca="1"/>
        <v>45974</v>
      </c>
      <c r="B14" vm="219">
        <f ca="1"/>
        <v>279.12</v>
      </c>
      <c r="C14" vm="220">
        <f ca="1"/>
        <v>78.34</v>
      </c>
      <c r="D14" vm="221">
        <f ca="1"/>
        <v>163.63999999999999</v>
      </c>
      <c r="E14" vm="222">
        <f ca="1"/>
        <v>73.16</v>
      </c>
      <c r="F14" vm="223">
        <f ca="1"/>
        <v>71.069999999999993</v>
      </c>
      <c r="G14" vm="224">
        <f ca="1"/>
        <v>8.17</v>
      </c>
      <c r="H14" vm="225">
        <f ca="1"/>
        <v>102.54</v>
      </c>
      <c r="I14" vm="226">
        <f ca="1"/>
        <v>503.29</v>
      </c>
      <c r="J14" vm="227">
        <f ca="1"/>
        <v>272.95</v>
      </c>
      <c r="K14" vm="228">
        <f ca="1"/>
        <v>339.98</v>
      </c>
      <c r="L14" vm="229">
        <f ca="1"/>
        <v>67.040000000000006</v>
      </c>
      <c r="M14" vm="230">
        <f ca="1"/>
        <v>925.08</v>
      </c>
      <c r="N14" vm="231">
        <f ca="1"/>
        <v>237.58</v>
      </c>
      <c r="O14" vm="232">
        <f ca="1"/>
        <v>89.42</v>
      </c>
      <c r="P14" vm="233">
        <f ca="1"/>
        <v>155.58000000000001</v>
      </c>
      <c r="Q14" vm="234">
        <f ca="1"/>
        <v>75.92</v>
      </c>
      <c r="R14" t="e">
        <f ca="1"/>
        <v>#N/A</v>
      </c>
    </row>
    <row r="15" spans="1:250" ht="20" customHeight="1" x14ac:dyDescent="0.2">
      <c r="A15" vm="235">
        <f ca="1"/>
        <v>45975</v>
      </c>
      <c r="B15" vm="236">
        <f ca="1"/>
        <v>276.98</v>
      </c>
      <c r="C15" vm="237">
        <f ca="1"/>
        <v>77.36</v>
      </c>
      <c r="D15" vm="238">
        <f ca="1"/>
        <v>170.97</v>
      </c>
      <c r="E15" vm="239">
        <f ca="1"/>
        <v>72.56</v>
      </c>
      <c r="F15" vm="240">
        <f ca="1"/>
        <v>71.16</v>
      </c>
      <c r="G15" vm="241">
        <f ca="1"/>
        <v>7.98</v>
      </c>
      <c r="H15" vm="242">
        <f ca="1"/>
        <v>102.48</v>
      </c>
      <c r="I15" vm="243">
        <f ca="1"/>
        <v>510.18</v>
      </c>
      <c r="J15" vm="244">
        <f ca="1"/>
        <v>272.41000000000003</v>
      </c>
      <c r="K15" vm="245">
        <f ca="1"/>
        <v>342.46</v>
      </c>
      <c r="L15" vm="246">
        <f ca="1"/>
        <v>66.03</v>
      </c>
      <c r="M15" vm="247">
        <f ca="1"/>
        <v>922.98</v>
      </c>
      <c r="N15" vm="248">
        <f ca="1"/>
        <v>234.69</v>
      </c>
      <c r="O15" vm="249">
        <f ca="1"/>
        <v>91.37</v>
      </c>
      <c r="P15" vm="250">
        <f ca="1"/>
        <v>157.62</v>
      </c>
      <c r="Q15" vm="251">
        <f ca="1"/>
        <v>75.760000000000005</v>
      </c>
      <c r="R15" t="e">
        <f ca="1"/>
        <v>#N/A</v>
      </c>
    </row>
    <row r="16" spans="1:250" ht="20" customHeight="1" x14ac:dyDescent="0.2">
      <c r="A16" vm="252">
        <f ca="1"/>
        <v>45978</v>
      </c>
      <c r="B16" vm="253">
        <f ca="1"/>
        <v>285.60000000000002</v>
      </c>
      <c r="C16" vm="254">
        <f ca="1"/>
        <v>75.33</v>
      </c>
      <c r="D16" vm="255">
        <f ca="1"/>
        <v>166.65</v>
      </c>
      <c r="E16" vm="256">
        <f ca="1"/>
        <v>71.22</v>
      </c>
      <c r="F16" vm="257">
        <f ca="1"/>
        <v>70.680000000000007</v>
      </c>
      <c r="G16" vm="258">
        <f ca="1"/>
        <v>7.9</v>
      </c>
      <c r="H16" vm="259">
        <f ca="1"/>
        <v>102.95</v>
      </c>
      <c r="I16" vm="260">
        <f ca="1"/>
        <v>507.49</v>
      </c>
      <c r="J16" vm="261">
        <f ca="1"/>
        <v>267.45999999999998</v>
      </c>
      <c r="K16" vm="262">
        <f ca="1"/>
        <v>342.65</v>
      </c>
      <c r="L16" vm="263">
        <f ca="1"/>
        <v>63.41</v>
      </c>
      <c r="M16" vm="264">
        <f ca="1"/>
        <v>912.59</v>
      </c>
      <c r="N16" vm="265">
        <f ca="1"/>
        <v>232.87</v>
      </c>
      <c r="O16" vm="266">
        <f ca="1"/>
        <v>88.72</v>
      </c>
      <c r="P16" vm="267">
        <f ca="1"/>
        <v>154.82</v>
      </c>
      <c r="Q16" vm="268">
        <f ca="1"/>
        <v>75.400000000000006</v>
      </c>
      <c r="R16" t="e">
        <f ca="1"/>
        <v>#N/A</v>
      </c>
    </row>
    <row r="17" spans="1:18" ht="20" customHeight="1" x14ac:dyDescent="0.2">
      <c r="A17" vm="269">
        <f ca="1"/>
        <v>45979</v>
      </c>
      <c r="B17" vm="270">
        <f ca="1"/>
        <v>284.95999999999998</v>
      </c>
      <c r="C17" vm="271">
        <f ca="1"/>
        <v>74.900000000000006</v>
      </c>
      <c r="D17" vm="272">
        <f ca="1"/>
        <v>164.86</v>
      </c>
      <c r="E17" vm="273">
        <f ca="1"/>
        <v>69.59</v>
      </c>
      <c r="F17" vm="256">
        <f ca="1"/>
        <v>71.22</v>
      </c>
      <c r="G17" vm="274">
        <f ca="1"/>
        <v>7.69</v>
      </c>
      <c r="H17" vm="275">
        <f ca="1"/>
        <v>101.39</v>
      </c>
      <c r="I17" vm="276">
        <f ca="1"/>
        <v>493.79</v>
      </c>
      <c r="J17" vm="277">
        <f ca="1"/>
        <v>267.44</v>
      </c>
      <c r="K17" vm="278">
        <f ca="1"/>
        <v>340.5</v>
      </c>
      <c r="L17" vm="279">
        <f ca="1"/>
        <v>63.27</v>
      </c>
      <c r="M17" vm="280">
        <f ca="1"/>
        <v>895.08</v>
      </c>
      <c r="N17" vm="281">
        <f ca="1"/>
        <v>222.55</v>
      </c>
      <c r="O17" vm="282">
        <f ca="1"/>
        <v>89.68</v>
      </c>
      <c r="P17" vm="283">
        <f ca="1"/>
        <v>153.62</v>
      </c>
      <c r="Q17" vm="284">
        <f ca="1"/>
        <v>75.31</v>
      </c>
      <c r="R17" t="e">
        <f ca="1"/>
        <v>#N/A</v>
      </c>
    </row>
    <row r="18" spans="1:18" ht="20" customHeight="1" x14ac:dyDescent="0.2">
      <c r="A18" vm="285">
        <f ca="1"/>
        <v>45980</v>
      </c>
      <c r="B18" vm="286">
        <f ca="1"/>
        <v>292.99</v>
      </c>
      <c r="C18" vm="84">
        <f ca="1"/>
        <v>74.92</v>
      </c>
      <c r="D18" vm="287">
        <f ca="1"/>
        <v>170.65</v>
      </c>
      <c r="E18" vm="288">
        <f ca="1"/>
        <v>69.14</v>
      </c>
      <c r="F18" vm="289">
        <f ca="1"/>
        <v>71.11</v>
      </c>
      <c r="G18" vm="290">
        <f ca="1"/>
        <v>7.75</v>
      </c>
      <c r="H18" vm="291">
        <f ca="1"/>
        <v>100.61</v>
      </c>
      <c r="I18" vm="292">
        <f ca="1"/>
        <v>487.12</v>
      </c>
      <c r="J18" vm="293">
        <f ca="1"/>
        <v>268.56</v>
      </c>
      <c r="K18" vm="294">
        <f ca="1"/>
        <v>354.42</v>
      </c>
      <c r="L18" vm="295">
        <f ca="1"/>
        <v>64.56</v>
      </c>
      <c r="M18" vm="296">
        <f ca="1"/>
        <v>890.6</v>
      </c>
      <c r="N18" vm="297">
        <f ca="1"/>
        <v>222.69</v>
      </c>
      <c r="O18" vm="298">
        <f ca="1"/>
        <v>87.98</v>
      </c>
      <c r="P18" vm="299">
        <f ca="1"/>
        <v>151.69999999999999</v>
      </c>
      <c r="Q18" vm="300">
        <f ca="1"/>
        <v>73.67</v>
      </c>
      <c r="R18" t="e">
        <f ca="1"/>
        <v>#N/A</v>
      </c>
    </row>
    <row r="19" spans="1:18" ht="20" customHeight="1" x14ac:dyDescent="0.2">
      <c r="A19" vm="301">
        <f ca="1"/>
        <v>45981</v>
      </c>
      <c r="B19" vm="302">
        <f ca="1"/>
        <v>289.98</v>
      </c>
      <c r="C19" vm="303">
        <f ca="1"/>
        <v>69.209999999999994</v>
      </c>
      <c r="D19" vm="304">
        <f ca="1"/>
        <v>159.61000000000001</v>
      </c>
      <c r="E19" vm="305">
        <f ca="1"/>
        <v>67.56</v>
      </c>
      <c r="F19" vm="306">
        <f ca="1"/>
        <v>71.209999999999994</v>
      </c>
      <c r="G19" vm="307">
        <f ca="1"/>
        <v>8.14</v>
      </c>
      <c r="H19" vm="308">
        <f ca="1"/>
        <v>107.11</v>
      </c>
      <c r="I19" vm="309">
        <f ca="1"/>
        <v>478.43</v>
      </c>
      <c r="J19" vm="310">
        <f ca="1"/>
        <v>266.25</v>
      </c>
      <c r="K19" vm="311">
        <f ca="1"/>
        <v>346.82</v>
      </c>
      <c r="L19" vm="312">
        <f ca="1"/>
        <v>61.56</v>
      </c>
      <c r="M19" vm="313">
        <f ca="1"/>
        <v>893.29</v>
      </c>
      <c r="N19" vm="314">
        <f ca="1"/>
        <v>217.14</v>
      </c>
      <c r="O19" vm="315">
        <f ca="1"/>
        <v>87.47</v>
      </c>
      <c r="P19" vm="316">
        <f ca="1"/>
        <v>150.31</v>
      </c>
      <c r="Q19" vm="317">
        <f ca="1"/>
        <v>73.209999999999994</v>
      </c>
      <c r="R19" t="e">
        <f ca="1"/>
        <v>#N/A</v>
      </c>
    </row>
    <row r="20" spans="1:18" ht="20" customHeight="1" x14ac:dyDescent="0.2">
      <c r="A20" vm="318">
        <f ca="1"/>
        <v>45982</v>
      </c>
      <c r="B20" vm="319">
        <f ca="1"/>
        <v>299.64999999999998</v>
      </c>
      <c r="C20" vm="320">
        <f ca="1"/>
        <v>71.650000000000006</v>
      </c>
      <c r="D20" vm="321">
        <f ca="1"/>
        <v>159.83000000000001</v>
      </c>
      <c r="E20" vm="322">
        <f ca="1"/>
        <v>68.959999999999994</v>
      </c>
      <c r="F20" vm="323">
        <f ca="1"/>
        <v>72.95</v>
      </c>
      <c r="G20" vm="324">
        <f ca="1"/>
        <v>7.58</v>
      </c>
      <c r="H20" vm="325">
        <f ca="1"/>
        <v>105.32</v>
      </c>
      <c r="I20" vm="326">
        <f ca="1"/>
        <v>472.12</v>
      </c>
      <c r="J20" vm="327">
        <f ca="1"/>
        <v>271.49</v>
      </c>
      <c r="K20" vm="328">
        <f ca="1"/>
        <v>340.2</v>
      </c>
      <c r="L20" vm="329">
        <f ca="1"/>
        <v>61.05</v>
      </c>
      <c r="M20" vm="330">
        <f ca="1"/>
        <v>899.01</v>
      </c>
      <c r="N20" vm="331">
        <f ca="1"/>
        <v>220.69</v>
      </c>
      <c r="O20" vm="332">
        <f ca="1"/>
        <v>87.37</v>
      </c>
      <c r="P20" vm="333">
        <f ca="1"/>
        <v>149.97999999999999</v>
      </c>
      <c r="Q20" vm="334">
        <f ca="1"/>
        <v>73.27</v>
      </c>
      <c r="R20" t="e">
        <f ca="1"/>
        <v>#N/A</v>
      </c>
    </row>
    <row r="21" spans="1:18" ht="20" customHeight="1" x14ac:dyDescent="0.2">
      <c r="A21" vm="335">
        <f ca="1"/>
        <v>45985</v>
      </c>
      <c r="B21" vm="336">
        <f ca="1"/>
        <v>318.47000000000003</v>
      </c>
      <c r="C21" vm="337">
        <f ca="1"/>
        <v>73.599999999999994</v>
      </c>
      <c r="D21" vm="338">
        <f ca="1"/>
        <v>168.91</v>
      </c>
      <c r="E21" vm="339">
        <f ca="1"/>
        <v>68.95</v>
      </c>
      <c r="F21" vm="340">
        <f ca="1"/>
        <v>72.59</v>
      </c>
      <c r="G21" t="e">
        <f ca="1"/>
        <v>#N/A</v>
      </c>
      <c r="H21" vm="341">
        <f ca="1"/>
        <v>104.06</v>
      </c>
      <c r="I21" vm="342">
        <f ca="1"/>
        <v>474</v>
      </c>
      <c r="J21" vm="343">
        <f ca="1"/>
        <v>275.92</v>
      </c>
      <c r="K21" vm="344">
        <f ca="1"/>
        <v>377.96</v>
      </c>
      <c r="L21" vm="345">
        <f ca="1"/>
        <v>62.43</v>
      </c>
      <c r="M21" vm="346">
        <f ca="1"/>
        <v>886.12</v>
      </c>
      <c r="N21" vm="347">
        <f ca="1"/>
        <v>226.28</v>
      </c>
      <c r="O21" vm="348">
        <f ca="1"/>
        <v>87.56</v>
      </c>
      <c r="P21" vm="349">
        <f ca="1"/>
        <v>149.75</v>
      </c>
      <c r="Q21" vm="350">
        <f ca="1"/>
        <v>73.23</v>
      </c>
      <c r="R21" t="e">
        <f ca="1"/>
        <v>#N/A</v>
      </c>
    </row>
    <row r="22" spans="1:18" ht="20" customHeight="1" x14ac:dyDescent="0.2">
      <c r="A22" vm="351">
        <f ca="1"/>
        <v>45986</v>
      </c>
      <c r="B22" vm="352">
        <f ca="1"/>
        <v>323.64</v>
      </c>
      <c r="C22" vm="353">
        <f ca="1"/>
        <v>71.290000000000006</v>
      </c>
      <c r="D22" vm="354">
        <f ca="1"/>
        <v>169.57</v>
      </c>
      <c r="E22" vm="355">
        <f ca="1"/>
        <v>69.510000000000005</v>
      </c>
      <c r="F22" vm="356">
        <f ca="1"/>
        <v>72.61</v>
      </c>
      <c r="G22" vm="357">
        <f ca="1"/>
        <v>7.34</v>
      </c>
      <c r="H22" vm="358">
        <f ca="1"/>
        <v>107</v>
      </c>
      <c r="I22" vm="359">
        <f ca="1"/>
        <v>476.99</v>
      </c>
      <c r="J22" vm="360">
        <f ca="1"/>
        <v>276.97000000000003</v>
      </c>
      <c r="K22" vm="361">
        <f ca="1"/>
        <v>385.03</v>
      </c>
      <c r="L22" vm="362">
        <f ca="1"/>
        <v>63.17</v>
      </c>
      <c r="M22" vm="363">
        <f ca="1"/>
        <v>894.33</v>
      </c>
      <c r="N22" vm="364">
        <f ca="1"/>
        <v>229.67</v>
      </c>
      <c r="O22" vm="365">
        <f ca="1"/>
        <v>86.62</v>
      </c>
      <c r="P22" vm="366">
        <f ca="1"/>
        <v>148.53</v>
      </c>
      <c r="Q22" vm="367">
        <f ca="1"/>
        <v>72.8</v>
      </c>
      <c r="R22" t="e">
        <f ca="1"/>
        <v>#N/A</v>
      </c>
    </row>
    <row r="23" spans="1:18" ht="20" customHeight="1" x14ac:dyDescent="0.2">
      <c r="A23" vm="368">
        <f ca="1"/>
        <v>45987</v>
      </c>
      <c r="B23" vm="369">
        <f ca="1"/>
        <v>320.27999999999997</v>
      </c>
      <c r="C23" vm="370">
        <f ca="1"/>
        <v>74.290000000000006</v>
      </c>
      <c r="D23" vm="371">
        <f ca="1"/>
        <v>172.02</v>
      </c>
      <c r="E23" vm="372">
        <f ca="1"/>
        <v>70.58</v>
      </c>
      <c r="F23" vm="373">
        <f ca="1"/>
        <v>72.88</v>
      </c>
      <c r="G23" vm="374">
        <f ca="1"/>
        <v>7.57</v>
      </c>
      <c r="H23" vm="375">
        <f ca="1"/>
        <v>109.1</v>
      </c>
      <c r="I23" vm="376">
        <f ca="1"/>
        <v>485.5</v>
      </c>
      <c r="J23" vm="377">
        <f ca="1"/>
        <v>277.55</v>
      </c>
      <c r="K23" vm="378">
        <f ca="1"/>
        <v>397.57</v>
      </c>
      <c r="L23" vm="379">
        <f ca="1"/>
        <v>64.19</v>
      </c>
      <c r="M23" vm="380">
        <f ca="1"/>
        <v>908.26</v>
      </c>
      <c r="N23" vm="381">
        <f ca="1"/>
        <v>229.16</v>
      </c>
      <c r="O23" vm="382">
        <f ca="1"/>
        <v>87.09</v>
      </c>
      <c r="P23" vm="383">
        <f ca="1"/>
        <v>149.51</v>
      </c>
      <c r="Q23" vm="384">
        <f ca="1"/>
        <v>73.41</v>
      </c>
      <c r="R23" t="e">
        <f ca="1"/>
        <v>#N/A</v>
      </c>
    </row>
    <row r="24" spans="1:18" ht="20" customHeight="1" x14ac:dyDescent="0.2">
      <c r="A24" vm="385">
        <f ca="1"/>
        <v>45989</v>
      </c>
      <c r="B24" vm="386">
        <f ca="1"/>
        <v>320.12</v>
      </c>
      <c r="C24" vm="387">
        <f ca="1"/>
        <v>73.12</v>
      </c>
      <c r="D24" vm="388">
        <f ca="1"/>
        <v>179.73</v>
      </c>
      <c r="E24" vm="240">
        <f ca="1"/>
        <v>71.16</v>
      </c>
      <c r="F24" vm="387">
        <f ca="1"/>
        <v>73.12</v>
      </c>
      <c r="G24" vm="389">
        <f ca="1"/>
        <v>7.5</v>
      </c>
      <c r="H24" vm="390">
        <f ca="1"/>
        <v>110.51</v>
      </c>
      <c r="I24" vm="391">
        <f ca="1"/>
        <v>492.01</v>
      </c>
      <c r="J24" vm="392">
        <f ca="1"/>
        <v>278.85000000000002</v>
      </c>
      <c r="K24" vm="393">
        <f ca="1"/>
        <v>402.96</v>
      </c>
      <c r="L24" vm="394">
        <f ca="1"/>
        <v>65.02</v>
      </c>
      <c r="M24" vm="395">
        <f ca="1"/>
        <v>913.59</v>
      </c>
      <c r="N24" vm="396">
        <f ca="1"/>
        <v>233.22</v>
      </c>
      <c r="O24" vm="397">
        <f ca="1"/>
        <v>88.69</v>
      </c>
      <c r="P24" vm="398">
        <f ca="1"/>
        <v>151.13</v>
      </c>
      <c r="Q24" vm="399">
        <f ca="1"/>
        <v>73.77</v>
      </c>
      <c r="R24" t="e">
        <f ca="1"/>
        <v>#N/A</v>
      </c>
    </row>
    <row r="25" spans="1:18" ht="20" customHeight="1" x14ac:dyDescent="0.2">
      <c r="A25" vm="400">
        <f ca="1"/>
        <v>45992</v>
      </c>
      <c r="B25" vm="401">
        <f ca="1"/>
        <v>315.12</v>
      </c>
      <c r="C25" vm="402">
        <f ca="1"/>
        <v>77.06</v>
      </c>
      <c r="D25" vm="403">
        <f ca="1"/>
        <v>179.22</v>
      </c>
      <c r="E25" vm="404">
        <f ca="1"/>
        <v>71.36</v>
      </c>
      <c r="F25" vm="405">
        <f ca="1"/>
        <v>71.95</v>
      </c>
      <c r="G25" vm="406">
        <f ca="1"/>
        <v>7.52</v>
      </c>
      <c r="H25" vm="407">
        <f ca="1"/>
        <v>111.53</v>
      </c>
      <c r="I25" vm="408">
        <f ca="1"/>
        <v>486.74</v>
      </c>
      <c r="J25" vm="409">
        <f ca="1"/>
        <v>283.10000000000002</v>
      </c>
      <c r="K25" vm="410">
        <f ca="1"/>
        <v>386.08</v>
      </c>
      <c r="L25" vm="411">
        <f ca="1"/>
        <v>63.54</v>
      </c>
      <c r="M25" vm="412">
        <f ca="1"/>
        <v>911.96</v>
      </c>
      <c r="N25" vm="413">
        <f ca="1"/>
        <v>233.88</v>
      </c>
      <c r="O25" vm="414">
        <f ca="1"/>
        <v>90.26</v>
      </c>
      <c r="P25" vm="415">
        <f ca="1"/>
        <v>152.54</v>
      </c>
      <c r="Q25" vm="416">
        <f ca="1"/>
        <v>74.31</v>
      </c>
      <c r="R25" t="e">
        <f ca="1"/>
        <v>#N/A</v>
      </c>
    </row>
    <row r="26" spans="1:18" ht="20" customHeight="1" x14ac:dyDescent="0.2">
      <c r="A26" vm="417">
        <f ca="1"/>
        <v>45993</v>
      </c>
      <c r="B26" vm="418">
        <f ca="1"/>
        <v>316.02</v>
      </c>
      <c r="C26" vm="419">
        <f ca="1"/>
        <v>76.03</v>
      </c>
      <c r="D26" vm="420">
        <f ca="1"/>
        <v>180.91</v>
      </c>
      <c r="E26" vm="421">
        <f ca="1"/>
        <v>72</v>
      </c>
      <c r="F26" vm="422">
        <f ca="1"/>
        <v>70.67</v>
      </c>
      <c r="G26" vm="423">
        <f ca="1"/>
        <v>7.62</v>
      </c>
      <c r="H26" vm="424">
        <f ca="1"/>
        <v>112.41</v>
      </c>
      <c r="I26" vm="425">
        <f ca="1"/>
        <v>490</v>
      </c>
      <c r="J26" vm="426">
        <f ca="1"/>
        <v>286.19</v>
      </c>
      <c r="K26" vm="427">
        <f ca="1"/>
        <v>381.57</v>
      </c>
      <c r="L26" vm="428">
        <f ca="1"/>
        <v>63.59</v>
      </c>
      <c r="M26" vm="429">
        <f ca="1"/>
        <v>922.03</v>
      </c>
      <c r="N26" vm="430">
        <f ca="1"/>
        <v>234.42</v>
      </c>
      <c r="O26" vm="431">
        <f ca="1"/>
        <v>89.29</v>
      </c>
      <c r="P26" vm="432">
        <f ca="1"/>
        <v>150.25</v>
      </c>
      <c r="Q26" vm="433">
        <f ca="1"/>
        <v>73.959999999999994</v>
      </c>
      <c r="R26" t="e">
        <f ca="1"/>
        <v>#N/A</v>
      </c>
    </row>
    <row r="27" spans="1:18" ht="20" customHeight="1" x14ac:dyDescent="0.2">
      <c r="A27" vm="434">
        <f ca="1"/>
        <v>45994</v>
      </c>
      <c r="B27" vm="435">
        <f ca="1"/>
        <v>320.62</v>
      </c>
      <c r="C27" vm="436">
        <f ca="1"/>
        <v>79.36</v>
      </c>
      <c r="D27" vm="437">
        <f ca="1"/>
        <v>178.88</v>
      </c>
      <c r="E27" vm="139">
        <f ca="1"/>
        <v>72.010000000000005</v>
      </c>
      <c r="F27" vm="438">
        <f ca="1"/>
        <v>70.81</v>
      </c>
      <c r="G27" vm="324">
        <f ca="1"/>
        <v>7.58</v>
      </c>
      <c r="H27" vm="439">
        <f ca="1"/>
        <v>114.41</v>
      </c>
      <c r="I27" vm="440">
        <f ca="1"/>
        <v>477.73</v>
      </c>
      <c r="J27" vm="441">
        <f ca="1"/>
        <v>284.14999999999998</v>
      </c>
      <c r="K27" vm="442">
        <f ca="1"/>
        <v>380.61</v>
      </c>
      <c r="L27" vm="443">
        <f ca="1"/>
        <v>64.959999999999994</v>
      </c>
      <c r="M27" vm="444">
        <f ca="1"/>
        <v>922.26</v>
      </c>
      <c r="N27" vm="445">
        <f ca="1"/>
        <v>232.38</v>
      </c>
      <c r="O27" vm="446">
        <f ca="1"/>
        <v>91.81</v>
      </c>
      <c r="P27" vm="447">
        <f ca="1"/>
        <v>151.59</v>
      </c>
      <c r="Q27" vm="448">
        <f ca="1"/>
        <v>75.12</v>
      </c>
      <c r="R27" t="e">
        <f ca="1"/>
        <v>#N/A</v>
      </c>
    </row>
    <row r="28" spans="1:18" ht="20" customHeight="1" x14ac:dyDescent="0.2">
      <c r="A28" vm="449">
        <f ca="1"/>
        <v>45995</v>
      </c>
      <c r="B28" vm="450">
        <f ca="1"/>
        <v>318.39</v>
      </c>
      <c r="C28" vm="451">
        <f ca="1"/>
        <v>85.75</v>
      </c>
      <c r="D28" vm="452">
        <f ca="1"/>
        <v>182.54</v>
      </c>
      <c r="E28" vm="453">
        <f ca="1"/>
        <v>71.709999999999994</v>
      </c>
      <c r="F28" vm="454">
        <f ca="1"/>
        <v>70.45</v>
      </c>
      <c r="G28" vm="455">
        <f ca="1"/>
        <v>7.64</v>
      </c>
      <c r="H28" vm="456">
        <f ca="1"/>
        <v>114.84</v>
      </c>
      <c r="I28" vm="457">
        <f ca="1"/>
        <v>480.84</v>
      </c>
      <c r="J28" vm="458">
        <f ca="1"/>
        <v>280.7</v>
      </c>
      <c r="K28" vm="459">
        <f ca="1"/>
        <v>381.03</v>
      </c>
      <c r="L28" vm="460">
        <f ca="1"/>
        <v>65.95</v>
      </c>
      <c r="M28" vm="461">
        <f ca="1"/>
        <v>895.85500000000002</v>
      </c>
      <c r="N28" vm="462">
        <f ca="1"/>
        <v>229.11</v>
      </c>
      <c r="O28" vm="463">
        <f ca="1"/>
        <v>93.12</v>
      </c>
      <c r="P28" vm="464">
        <f ca="1"/>
        <v>152.26</v>
      </c>
      <c r="Q28" vm="465">
        <f ca="1"/>
        <v>74.5</v>
      </c>
      <c r="R28" t="e">
        <f ca="1"/>
        <v>#N/A</v>
      </c>
    </row>
    <row r="29" spans="1:18" ht="20" customHeight="1" x14ac:dyDescent="0.2">
      <c r="A29" vm="466">
        <f ca="1"/>
        <v>45996</v>
      </c>
      <c r="B29" vm="467">
        <f ca="1"/>
        <v>322.08999999999997</v>
      </c>
      <c r="C29" vm="468">
        <f ca="1"/>
        <v>88.3</v>
      </c>
      <c r="D29" vm="469">
        <f ca="1"/>
        <v>189.02</v>
      </c>
      <c r="E29" vm="470">
        <f ca="1"/>
        <v>71</v>
      </c>
      <c r="F29" vm="471">
        <f ca="1"/>
        <v>70</v>
      </c>
      <c r="G29" vm="472">
        <f ca="1"/>
        <v>7.65</v>
      </c>
      <c r="H29" vm="473">
        <f ca="1"/>
        <v>115.11</v>
      </c>
      <c r="I29" vm="474">
        <f ca="1"/>
        <v>483.16</v>
      </c>
      <c r="J29" vm="475">
        <f ca="1"/>
        <v>278.77999999999997</v>
      </c>
      <c r="K29" vm="476">
        <f ca="1"/>
        <v>390.24</v>
      </c>
      <c r="L29" vm="477">
        <f ca="1"/>
        <v>64.5</v>
      </c>
      <c r="M29" vm="478">
        <f ca="1"/>
        <v>894.68</v>
      </c>
      <c r="N29" vm="479">
        <f ca="1"/>
        <v>229.53</v>
      </c>
      <c r="O29" vm="480">
        <f ca="1"/>
        <v>93.69</v>
      </c>
      <c r="P29" vm="481">
        <f ca="1"/>
        <v>150</v>
      </c>
      <c r="Q29" vm="482">
        <f ca="1"/>
        <v>73.010000000000005</v>
      </c>
      <c r="R29" t="e">
        <f ca="1"/>
        <v>#N/A</v>
      </c>
    </row>
    <row r="30" spans="1:18" ht="20" customHeight="1" x14ac:dyDescent="0.2">
      <c r="A30" vm="483">
        <f ca="1"/>
        <v>45999</v>
      </c>
      <c r="B30" vm="484">
        <f ca="1"/>
        <v>314.45</v>
      </c>
      <c r="C30" vm="485">
        <f ca="1"/>
        <v>86.24</v>
      </c>
      <c r="D30" vm="486">
        <f ca="1"/>
        <v>185.61</v>
      </c>
      <c r="E30" vm="487">
        <f ca="1"/>
        <v>71.02</v>
      </c>
      <c r="F30" vm="488">
        <f ca="1"/>
        <v>70.25</v>
      </c>
      <c r="G30" t="e">
        <f ca="1"/>
        <v>#N/A</v>
      </c>
      <c r="H30" vm="489">
        <f ca="1"/>
        <v>113.56</v>
      </c>
      <c r="I30" vm="490">
        <f ca="1"/>
        <v>491.02</v>
      </c>
      <c r="J30" vm="491">
        <f ca="1"/>
        <v>277.89</v>
      </c>
      <c r="K30" vm="492">
        <f ca="1"/>
        <v>401.1</v>
      </c>
      <c r="L30" vm="493">
        <f ca="1"/>
        <v>65.81</v>
      </c>
      <c r="M30" vm="494">
        <f ca="1"/>
        <v>887.52</v>
      </c>
      <c r="N30" vm="495">
        <f ca="1"/>
        <v>226.89</v>
      </c>
      <c r="O30" vm="496">
        <f ca="1"/>
        <v>92.88</v>
      </c>
      <c r="P30" vm="497">
        <f ca="1"/>
        <v>148.71</v>
      </c>
      <c r="Q30" vm="212">
        <f ca="1"/>
        <v>72.7</v>
      </c>
      <c r="R30" t="e">
        <f ca="1"/>
        <v>#N/A</v>
      </c>
    </row>
    <row r="31" spans="1:18" ht="20" customHeight="1" x14ac:dyDescent="0.2">
      <c r="A31" vm="498">
        <f ca="1"/>
        <v>46000</v>
      </c>
      <c r="B31" vm="499">
        <f ca="1"/>
        <v>317.75</v>
      </c>
      <c r="C31" vm="500">
        <f ca="1"/>
        <v>90.66</v>
      </c>
      <c r="D31" vm="501">
        <f ca="1"/>
        <v>178.38</v>
      </c>
      <c r="E31" vm="502">
        <f ca="1"/>
        <v>70.790000000000006</v>
      </c>
      <c r="F31" vm="503">
        <f ca="1"/>
        <v>70.09</v>
      </c>
      <c r="G31" vm="290">
        <f ca="1"/>
        <v>7.75</v>
      </c>
      <c r="H31" vm="504">
        <f ca="1"/>
        <v>115.06</v>
      </c>
      <c r="I31" vm="505">
        <f ca="1"/>
        <v>492.02</v>
      </c>
      <c r="J31" vm="506">
        <f ca="1"/>
        <v>277.18</v>
      </c>
      <c r="K31" vm="507">
        <f ca="1"/>
        <v>406.29</v>
      </c>
      <c r="L31" vm="508">
        <f ca="1"/>
        <v>65.56</v>
      </c>
      <c r="M31" vm="509">
        <f ca="1"/>
        <v>888.44</v>
      </c>
      <c r="N31" vm="510">
        <f ca="1"/>
        <v>227.92</v>
      </c>
      <c r="O31" vm="511">
        <f ca="1"/>
        <v>93.43</v>
      </c>
      <c r="P31" vm="512">
        <f ca="1"/>
        <v>148.49</v>
      </c>
      <c r="Q31" vm="513">
        <f ca="1"/>
        <v>72.55</v>
      </c>
      <c r="R31" t="e">
        <f ca="1"/>
        <v>#N/A</v>
      </c>
    </row>
    <row r="32" spans="1:18" ht="20" customHeight="1" x14ac:dyDescent="0.2">
      <c r="A32" vm="514">
        <f ca="1"/>
        <v>46001</v>
      </c>
      <c r="B32" vm="515">
        <f ca="1"/>
        <v>321</v>
      </c>
      <c r="C32" vm="516">
        <f ca="1"/>
        <v>88.16</v>
      </c>
      <c r="D32" vm="517">
        <f ca="1"/>
        <v>181.82</v>
      </c>
      <c r="E32" vm="518">
        <f ca="1"/>
        <v>74.08</v>
      </c>
      <c r="F32" vm="519">
        <f ca="1"/>
        <v>70.209999999999994</v>
      </c>
      <c r="G32" vm="520">
        <f ca="1"/>
        <v>7.7</v>
      </c>
      <c r="H32" vm="521">
        <f ca="1"/>
        <v>113.18</v>
      </c>
      <c r="I32" vm="522">
        <f ca="1"/>
        <v>478.56</v>
      </c>
      <c r="J32" vm="475">
        <f ca="1"/>
        <v>278.77999999999997</v>
      </c>
      <c r="K32" vm="523">
        <f ca="1"/>
        <v>412.97</v>
      </c>
      <c r="L32" vm="524">
        <f ca="1"/>
        <v>66.67</v>
      </c>
      <c r="M32" vm="525">
        <f ca="1"/>
        <v>874.41</v>
      </c>
      <c r="N32" vm="526">
        <f ca="1"/>
        <v>231.78</v>
      </c>
      <c r="O32" vm="527">
        <f ca="1"/>
        <v>96.8</v>
      </c>
      <c r="P32" vm="528">
        <f ca="1"/>
        <v>151.41</v>
      </c>
      <c r="Q32" vm="373">
        <f ca="1"/>
        <v>72.88</v>
      </c>
      <c r="R32" t="e">
        <f ca="1"/>
        <v>#N/A</v>
      </c>
    </row>
    <row r="33" spans="1:18" ht="20" customHeight="1" x14ac:dyDescent="0.2">
      <c r="A33" vm="529">
        <f ca="1"/>
        <v>46002</v>
      </c>
      <c r="B33" vm="530">
        <f ca="1"/>
        <v>313.7</v>
      </c>
      <c r="C33" vm="531">
        <f ca="1"/>
        <v>87.38</v>
      </c>
      <c r="D33" vm="532">
        <f ca="1"/>
        <v>178.66</v>
      </c>
      <c r="E33" vm="533">
        <f ca="1"/>
        <v>75.239999999999995</v>
      </c>
      <c r="F33" vm="534">
        <f ca="1"/>
        <v>69.11</v>
      </c>
      <c r="G33" vm="535">
        <f ca="1"/>
        <v>7.81</v>
      </c>
      <c r="H33" vm="536">
        <f ca="1"/>
        <v>115.52</v>
      </c>
      <c r="I33" vm="537">
        <f ca="1"/>
        <v>483.47</v>
      </c>
      <c r="J33" vm="538">
        <f ca="1"/>
        <v>278.02999999999997</v>
      </c>
      <c r="K33" vm="539">
        <f ca="1"/>
        <v>406.37</v>
      </c>
      <c r="L33" vm="540">
        <f ca="1"/>
        <v>66.06</v>
      </c>
      <c r="M33" vm="541">
        <f ca="1"/>
        <v>884.48</v>
      </c>
      <c r="N33" vm="542">
        <f ca="1"/>
        <v>230.28</v>
      </c>
      <c r="O33" vm="543">
        <f ca="1"/>
        <v>96.71</v>
      </c>
      <c r="P33" vm="544">
        <f ca="1"/>
        <v>150.72</v>
      </c>
      <c r="Q33" vm="545">
        <f ca="1"/>
        <v>72.86</v>
      </c>
      <c r="R33" t="e">
        <f ca="1"/>
        <v>#N/A</v>
      </c>
    </row>
    <row r="34" spans="1:18" ht="20" customHeight="1" x14ac:dyDescent="0.2">
      <c r="A34" vm="546">
        <f ca="1"/>
        <v>46003</v>
      </c>
      <c r="B34" vm="547">
        <f ca="1"/>
        <v>310.52</v>
      </c>
      <c r="C34" vm="548">
        <f ca="1"/>
        <v>78.59</v>
      </c>
      <c r="D34" vm="549">
        <f ca="1"/>
        <v>161.27000000000001</v>
      </c>
      <c r="E34" vm="550">
        <f ca="1"/>
        <v>74.989999999999995</v>
      </c>
      <c r="F34" vm="174">
        <f ca="1"/>
        <v>70.52</v>
      </c>
      <c r="G34" vm="551">
        <f ca="1"/>
        <v>7.79</v>
      </c>
      <c r="H34" vm="552">
        <f ca="1"/>
        <v>116.7</v>
      </c>
      <c r="I34" vm="553">
        <f ca="1"/>
        <v>478.53</v>
      </c>
      <c r="J34" vm="554">
        <f ca="1"/>
        <v>278.27999999999997</v>
      </c>
      <c r="K34" vm="555">
        <f ca="1"/>
        <v>359.93</v>
      </c>
      <c r="L34" vm="556">
        <f ca="1"/>
        <v>64.150000000000006</v>
      </c>
      <c r="M34" vm="557">
        <f ca="1"/>
        <v>884.47</v>
      </c>
      <c r="N34" vm="558">
        <f ca="1"/>
        <v>226.19</v>
      </c>
      <c r="O34" vm="559">
        <f ca="1"/>
        <v>95.54</v>
      </c>
      <c r="P34" vm="560">
        <f ca="1"/>
        <v>149.99</v>
      </c>
      <c r="Q34" vm="561">
        <f ca="1"/>
        <v>72.33</v>
      </c>
      <c r="R34" t="e">
        <f ca="1"/>
        <v>#N/A</v>
      </c>
    </row>
    <row r="35" spans="1:18" ht="20" customHeight="1" x14ac:dyDescent="0.2">
      <c r="A35" vm="562">
        <f ca="1"/>
        <v>46006</v>
      </c>
      <c r="B35" vm="563">
        <f ca="1"/>
        <v>309.32</v>
      </c>
      <c r="C35" vm="564">
        <f ca="1"/>
        <v>72.349999999999994</v>
      </c>
      <c r="D35" vm="565">
        <f ca="1"/>
        <v>161.74</v>
      </c>
      <c r="E35" vm="566">
        <f ca="1"/>
        <v>75.28</v>
      </c>
      <c r="F35" vm="567">
        <f ca="1"/>
        <v>70.97</v>
      </c>
      <c r="G35" vm="568">
        <f ca="1"/>
        <v>7.31</v>
      </c>
      <c r="H35" vm="569">
        <f ca="1"/>
        <v>116.79</v>
      </c>
      <c r="I35" vm="570">
        <f ca="1"/>
        <v>474.82</v>
      </c>
      <c r="J35" vm="571">
        <f ca="1"/>
        <v>274.11</v>
      </c>
      <c r="K35" vm="572">
        <f ca="1"/>
        <v>339.81</v>
      </c>
      <c r="L35" vm="573">
        <f ca="1"/>
        <v>62.87</v>
      </c>
      <c r="M35" vm="574">
        <f ca="1"/>
        <v>860.56</v>
      </c>
      <c r="N35" vm="575">
        <f ca="1"/>
        <v>222.54</v>
      </c>
      <c r="O35" vm="576">
        <f ca="1"/>
        <v>94.36</v>
      </c>
      <c r="P35" vm="577">
        <f ca="1"/>
        <v>149.80000000000001</v>
      </c>
      <c r="Q35" vm="578">
        <f ca="1"/>
        <v>72.23</v>
      </c>
      <c r="R35" t="e">
        <f ca="1"/>
        <v>#N/A</v>
      </c>
    </row>
    <row r="36" spans="1:18" ht="20" customHeight="1" x14ac:dyDescent="0.2">
      <c r="A36" vm="579">
        <f ca="1"/>
        <v>46007</v>
      </c>
      <c r="B36" vm="580">
        <f ca="1"/>
        <v>307.73</v>
      </c>
      <c r="C36" vm="581">
        <f ca="1"/>
        <v>69.5</v>
      </c>
      <c r="D36" vm="582">
        <f ca="1"/>
        <v>160.66</v>
      </c>
      <c r="E36" vm="583">
        <f ca="1"/>
        <v>74.66</v>
      </c>
      <c r="F36" vm="56">
        <f ca="1"/>
        <v>70.37</v>
      </c>
      <c r="G36" vm="584">
        <f ca="1"/>
        <v>7.49</v>
      </c>
      <c r="H36" vm="585">
        <f ca="1"/>
        <v>115.42</v>
      </c>
      <c r="I36" vm="586">
        <f ca="1"/>
        <v>476.39</v>
      </c>
      <c r="J36" vm="587">
        <f ca="1"/>
        <v>274.61</v>
      </c>
      <c r="K36" vm="588">
        <f ca="1"/>
        <v>341.3</v>
      </c>
      <c r="L36" vm="589">
        <f ca="1"/>
        <v>63.06</v>
      </c>
      <c r="M36" vm="590">
        <f ca="1"/>
        <v>860.39</v>
      </c>
      <c r="N36" vm="591">
        <f ca="1"/>
        <v>222.56</v>
      </c>
      <c r="O36" vm="592">
        <f ca="1"/>
        <v>90.77</v>
      </c>
      <c r="P36" vm="593">
        <f ca="1"/>
        <v>146.75</v>
      </c>
      <c r="Q36" vm="89">
        <f ca="1"/>
        <v>70.459999999999994</v>
      </c>
      <c r="R36" t="e">
        <f ca="1"/>
        <v>#N/A</v>
      </c>
    </row>
    <row r="37" spans="1:18" ht="20" customHeight="1" x14ac:dyDescent="0.2">
      <c r="A37" vm="594">
        <f ca="1"/>
        <v>46008</v>
      </c>
      <c r="B37" vm="595">
        <f ca="1"/>
        <v>298.06</v>
      </c>
      <c r="C37" vm="596">
        <f ca="1"/>
        <v>64.55</v>
      </c>
      <c r="D37" vm="597">
        <f ca="1"/>
        <v>149.83000000000001</v>
      </c>
      <c r="E37" vm="598">
        <f ca="1"/>
        <v>76.099999999999994</v>
      </c>
      <c r="F37" vm="422">
        <f ca="1"/>
        <v>70.67</v>
      </c>
      <c r="G37" vm="599">
        <f ca="1"/>
        <v>7.43</v>
      </c>
      <c r="H37" vm="600">
        <f ca="1"/>
        <v>115.66</v>
      </c>
      <c r="I37" vm="601">
        <f ca="1"/>
        <v>476.12</v>
      </c>
      <c r="J37" vm="602">
        <f ca="1"/>
        <v>271.83999999999997</v>
      </c>
      <c r="K37" vm="603">
        <f ca="1"/>
        <v>326.02</v>
      </c>
      <c r="L37" vm="604">
        <f ca="1"/>
        <v>62.45</v>
      </c>
      <c r="M37" vm="605">
        <f ca="1"/>
        <v>862.65</v>
      </c>
      <c r="N37" vm="606">
        <f ca="1"/>
        <v>221.27</v>
      </c>
      <c r="O37" vm="607">
        <f ca="1"/>
        <v>94.96</v>
      </c>
      <c r="P37" vm="608">
        <f ca="1"/>
        <v>149.52000000000001</v>
      </c>
      <c r="Q37" vm="609">
        <f ca="1"/>
        <v>71.55</v>
      </c>
      <c r="R37" t="e">
        <f ca="1"/>
        <v>#N/A</v>
      </c>
    </row>
    <row r="38" spans="1:18" ht="20" customHeight="1" x14ac:dyDescent="0.2">
      <c r="A38" vm="610">
        <f ca="1"/>
        <v>46009</v>
      </c>
      <c r="B38" vm="611">
        <f ca="1"/>
        <v>303.75</v>
      </c>
      <c r="C38" vm="612">
        <f ca="1"/>
        <v>67.680000000000007</v>
      </c>
      <c r="D38" vm="613">
        <f ca="1"/>
        <v>154.38999999999999</v>
      </c>
      <c r="E38" vm="614">
        <f ca="1"/>
        <v>76.760000000000005</v>
      </c>
      <c r="F38" vm="79">
        <f ca="1"/>
        <v>70.36</v>
      </c>
      <c r="G38" vm="615">
        <f ca="1"/>
        <v>7.24</v>
      </c>
      <c r="H38" vm="616">
        <f ca="1"/>
        <v>114.83</v>
      </c>
      <c r="I38" vm="617">
        <f ca="1"/>
        <v>483.98</v>
      </c>
      <c r="J38" vm="618">
        <f ca="1"/>
        <v>272.19</v>
      </c>
      <c r="K38" vm="619">
        <f ca="1"/>
        <v>329.88</v>
      </c>
      <c r="L38" vm="620">
        <f ca="1"/>
        <v>62.94</v>
      </c>
      <c r="M38" vm="621">
        <f ca="1"/>
        <v>857.59</v>
      </c>
      <c r="N38" vm="622">
        <f ca="1"/>
        <v>226.76</v>
      </c>
      <c r="O38" vm="623">
        <f ca="1"/>
        <v>92.23</v>
      </c>
      <c r="P38" vm="624">
        <f ca="1"/>
        <v>147.69</v>
      </c>
      <c r="Q38" vm="625">
        <f ca="1"/>
        <v>71.31</v>
      </c>
      <c r="R38" t="e">
        <f ca="1"/>
        <v>#N/A</v>
      </c>
    </row>
    <row r="39" spans="1:18" ht="20" customHeight="1" x14ac:dyDescent="0.2">
      <c r="A39" vm="626">
        <f ca="1"/>
        <v>46010</v>
      </c>
      <c r="B39" vm="627">
        <f ca="1"/>
        <v>308.61</v>
      </c>
      <c r="C39" vm="628">
        <f ca="1"/>
        <v>83</v>
      </c>
      <c r="D39" vm="629">
        <f ca="1"/>
        <v>159.82</v>
      </c>
      <c r="E39" vm="630">
        <f ca="1"/>
        <v>77.92</v>
      </c>
      <c r="F39" vm="631">
        <f ca="1"/>
        <v>70.06</v>
      </c>
      <c r="G39" vm="632">
        <f ca="1"/>
        <v>7.56</v>
      </c>
      <c r="H39" vm="633">
        <f ca="1"/>
        <v>114.36</v>
      </c>
      <c r="I39" vm="634">
        <f ca="1"/>
        <v>485.92</v>
      </c>
      <c r="J39" vm="635">
        <f ca="1"/>
        <v>273.67</v>
      </c>
      <c r="K39" vm="636">
        <f ca="1"/>
        <v>340.36</v>
      </c>
      <c r="L39" vm="637">
        <f ca="1"/>
        <v>64.260000000000005</v>
      </c>
      <c r="M39" vm="638">
        <f ca="1"/>
        <v>855.62</v>
      </c>
      <c r="N39" vm="639">
        <f ca="1"/>
        <v>227.35</v>
      </c>
      <c r="O39" vm="640">
        <f ca="1"/>
        <v>91.94</v>
      </c>
      <c r="P39" vm="641">
        <f ca="1"/>
        <v>147.75</v>
      </c>
      <c r="Q39" vm="642">
        <f ca="1"/>
        <v>72.02</v>
      </c>
      <c r="R39" t="e">
        <f ca="1"/>
        <v>#N/A</v>
      </c>
    </row>
    <row r="40" spans="1:18" ht="20" customHeight="1" x14ac:dyDescent="0.2">
      <c r="A40" vm="643">
        <f ca="1"/>
        <v>46013</v>
      </c>
      <c r="B40" vm="644">
        <f ca="1"/>
        <v>311.33</v>
      </c>
      <c r="C40" vm="645">
        <f ca="1"/>
        <v>84.83</v>
      </c>
      <c r="D40" vm="646">
        <f ca="1"/>
        <v>166.25</v>
      </c>
      <c r="E40" vm="647">
        <f ca="1"/>
        <v>78.73</v>
      </c>
      <c r="F40" vm="519">
        <f ca="1"/>
        <v>70.209999999999994</v>
      </c>
      <c r="G40" vm="274">
        <f ca="1"/>
        <v>7.69</v>
      </c>
      <c r="H40" vm="648">
        <f ca="1"/>
        <v>112.6</v>
      </c>
      <c r="I40" vm="649">
        <f ca="1"/>
        <v>484.92</v>
      </c>
      <c r="J40" vm="650">
        <f ca="1"/>
        <v>270.97000000000003</v>
      </c>
      <c r="K40" vm="651">
        <f ca="1"/>
        <v>341.45</v>
      </c>
      <c r="L40" vm="652">
        <f ca="1"/>
        <v>65.795000000000002</v>
      </c>
      <c r="M40" vm="653">
        <f ca="1"/>
        <v>850</v>
      </c>
      <c r="N40" vm="654">
        <f ca="1"/>
        <v>228.43</v>
      </c>
      <c r="O40" vm="655">
        <f ca="1"/>
        <v>93.31</v>
      </c>
      <c r="P40" vm="577">
        <f ca="1"/>
        <v>149.80000000000001</v>
      </c>
      <c r="Q40" vm="656">
        <f ca="1"/>
        <v>72.58</v>
      </c>
      <c r="R40" t="e">
        <f ca="1"/>
        <v>#N/A</v>
      </c>
    </row>
    <row r="41" spans="1:18" ht="20" customHeight="1" x14ac:dyDescent="0.2">
      <c r="A41" vm="657">
        <f ca="1"/>
        <v>46014</v>
      </c>
      <c r="B41" vm="658">
        <f ca="1"/>
        <v>315.68</v>
      </c>
      <c r="C41" vm="659">
        <f ca="1"/>
        <v>80.260000000000005</v>
      </c>
      <c r="D41" vm="660">
        <f ca="1"/>
        <v>166.26</v>
      </c>
      <c r="E41" vm="661">
        <f ca="1"/>
        <v>79.28</v>
      </c>
      <c r="F41" vm="662">
        <f ca="1"/>
        <v>69.87</v>
      </c>
      <c r="G41" vm="663">
        <f ca="1"/>
        <v>7.87</v>
      </c>
      <c r="H41" vm="664">
        <f ca="1"/>
        <v>110.9</v>
      </c>
      <c r="I41" vm="665">
        <f ca="1"/>
        <v>486.85</v>
      </c>
      <c r="J41" vm="666">
        <f ca="1"/>
        <v>272.36</v>
      </c>
      <c r="K41" vm="667">
        <f ca="1"/>
        <v>349.32</v>
      </c>
      <c r="L41" vm="668">
        <f ca="1"/>
        <v>65.959999999999994</v>
      </c>
      <c r="M41" vm="669">
        <f ca="1"/>
        <v>854.79</v>
      </c>
      <c r="N41" vm="670">
        <f ca="1"/>
        <v>232.14</v>
      </c>
      <c r="O41" vm="671">
        <f ca="1"/>
        <v>92.73</v>
      </c>
      <c r="P41" vm="672">
        <f ca="1"/>
        <v>150.51</v>
      </c>
      <c r="Q41" vm="673">
        <f ca="1"/>
        <v>73.069999999999993</v>
      </c>
      <c r="R41" t="e">
        <f ca="1"/>
        <v>#N/A</v>
      </c>
    </row>
    <row r="42" spans="1:18" ht="20" customHeight="1" x14ac:dyDescent="0.2">
      <c r="A42" vm="674">
        <f ca="1"/>
        <v>46015</v>
      </c>
      <c r="B42" vm="675">
        <f ca="1"/>
        <v>315.67</v>
      </c>
      <c r="C42" vm="676">
        <f ca="1"/>
        <v>78.87</v>
      </c>
      <c r="D42" vm="677">
        <f ca="1"/>
        <v>166.87</v>
      </c>
      <c r="E42" vm="678">
        <f ca="1"/>
        <v>79.58</v>
      </c>
      <c r="F42" vm="679">
        <f ca="1"/>
        <v>70.11</v>
      </c>
      <c r="G42" vm="680">
        <f ca="1"/>
        <v>7.86</v>
      </c>
      <c r="H42" vm="681">
        <f ca="1"/>
        <v>111.61</v>
      </c>
      <c r="I42" vm="682">
        <f ca="1"/>
        <v>488.02</v>
      </c>
      <c r="J42" vm="683">
        <f ca="1"/>
        <v>273.81</v>
      </c>
      <c r="K42" vm="684">
        <f ca="1"/>
        <v>350.22</v>
      </c>
      <c r="L42" vm="685">
        <f ca="1"/>
        <v>65.98</v>
      </c>
      <c r="M42" vm="686">
        <f ca="1"/>
        <v>871.86</v>
      </c>
      <c r="N42" vm="445">
        <f ca="1"/>
        <v>232.38</v>
      </c>
      <c r="O42" vm="687">
        <f ca="1"/>
        <v>91.8</v>
      </c>
      <c r="P42" vm="688">
        <f ca="1"/>
        <v>150.5</v>
      </c>
      <c r="Q42" vm="689">
        <f ca="1"/>
        <v>72.84</v>
      </c>
      <c r="R42" t="e">
        <f ca="1"/>
        <v>#N/A</v>
      </c>
    </row>
    <row r="43" spans="1:18" ht="20" customHeight="1" x14ac:dyDescent="0.2">
      <c r="A43" vm="690">
        <f ca="1"/>
        <v>46017</v>
      </c>
      <c r="B43" vm="691">
        <f ca="1"/>
        <v>314.95999999999998</v>
      </c>
      <c r="C43" vm="692">
        <f ca="1"/>
        <v>76.42</v>
      </c>
      <c r="D43" vm="693">
        <f ca="1"/>
        <v>167.58</v>
      </c>
      <c r="E43" vm="694">
        <f ca="1"/>
        <v>79.97</v>
      </c>
      <c r="F43" vm="662">
        <f ca="1"/>
        <v>69.87</v>
      </c>
      <c r="G43" vm="175">
        <f ca="1"/>
        <v>8.25</v>
      </c>
      <c r="H43" vm="695">
        <f ca="1"/>
        <v>111.74</v>
      </c>
      <c r="I43" vm="696">
        <f ca="1"/>
        <v>487.71</v>
      </c>
      <c r="J43" vm="697">
        <f ca="1"/>
        <v>273.39999999999998</v>
      </c>
      <c r="K43" vm="698">
        <f ca="1"/>
        <v>352.13</v>
      </c>
      <c r="L43" vm="699">
        <f ca="1"/>
        <v>66.16</v>
      </c>
      <c r="M43" vm="700">
        <f ca="1"/>
        <v>873.35</v>
      </c>
      <c r="N43" vm="701">
        <f ca="1"/>
        <v>232.52</v>
      </c>
      <c r="O43" vm="702">
        <f ca="1"/>
        <v>91.54</v>
      </c>
      <c r="P43" vm="703">
        <f ca="1"/>
        <v>150.02000000000001</v>
      </c>
      <c r="Q43" vm="704">
        <f ca="1"/>
        <v>72.81</v>
      </c>
      <c r="R43" t="e">
        <f ca="1"/>
        <v>#N/A</v>
      </c>
    </row>
    <row r="44" spans="1:18" ht="20" customHeight="1" x14ac:dyDescent="0.2">
      <c r="A44" vm="705">
        <f ca="1"/>
        <v>46020</v>
      </c>
      <c r="B44" vm="706">
        <f ca="1"/>
        <v>314.39</v>
      </c>
      <c r="C44" vm="84">
        <f ca="1"/>
        <v>74.92</v>
      </c>
      <c r="D44" vm="707">
        <f ca="1"/>
        <v>165.62</v>
      </c>
      <c r="E44" vm="708">
        <f ca="1"/>
        <v>78.849999999999994</v>
      </c>
      <c r="F44" vm="23">
        <f ca="1"/>
        <v>70.16</v>
      </c>
      <c r="G44" vm="709">
        <f ca="1"/>
        <v>7.83</v>
      </c>
      <c r="H44" vm="710">
        <f ca="1"/>
        <v>112.53</v>
      </c>
      <c r="I44" vm="711">
        <f ca="1"/>
        <v>487.1</v>
      </c>
      <c r="J44" vm="712">
        <f ca="1"/>
        <v>273.76</v>
      </c>
      <c r="K44" vm="713">
        <f ca="1"/>
        <v>349.39</v>
      </c>
      <c r="L44" vm="714">
        <f ca="1"/>
        <v>65.349999999999994</v>
      </c>
      <c r="M44" vm="715">
        <f ca="1"/>
        <v>867.84</v>
      </c>
      <c r="N44" vm="716">
        <f ca="1"/>
        <v>232.07</v>
      </c>
      <c r="O44" vm="717">
        <f ca="1"/>
        <v>92.63</v>
      </c>
      <c r="P44" vm="718">
        <f ca="1"/>
        <v>150.99</v>
      </c>
      <c r="Q44" vm="387">
        <f ca="1"/>
        <v>73.12</v>
      </c>
      <c r="R44" t="e">
        <f ca="1"/>
        <v>#N/A</v>
      </c>
    </row>
    <row r="45" spans="1:18" ht="20" customHeight="1" x14ac:dyDescent="0.2">
      <c r="A45" vm="719">
        <f ca="1"/>
        <v>46021</v>
      </c>
      <c r="B45" vm="720">
        <f ca="1"/>
        <v>314.55</v>
      </c>
      <c r="C45" vm="721">
        <f ca="1"/>
        <v>73.900000000000006</v>
      </c>
      <c r="D45" vm="722">
        <f ca="1"/>
        <v>164.34</v>
      </c>
      <c r="E45" vm="661">
        <f ca="1"/>
        <v>79.28</v>
      </c>
      <c r="F45" vm="73">
        <f ca="1"/>
        <v>70.069999999999993</v>
      </c>
      <c r="G45" vm="723">
        <f ca="1"/>
        <v>7.92</v>
      </c>
      <c r="H45" vm="724">
        <f ca="1"/>
        <v>111.92</v>
      </c>
      <c r="I45" vm="725">
        <f ca="1"/>
        <v>487.48</v>
      </c>
      <c r="J45" vm="726">
        <f ca="1"/>
        <v>273.08</v>
      </c>
      <c r="K45" vm="727">
        <f ca="1"/>
        <v>349.85</v>
      </c>
      <c r="L45" vm="728">
        <f ca="1"/>
        <v>65</v>
      </c>
      <c r="M45" vm="729">
        <f ca="1"/>
        <v>865.65</v>
      </c>
      <c r="N45" vm="730">
        <f ca="1"/>
        <v>232.53</v>
      </c>
      <c r="O45" vm="731">
        <f ca="1"/>
        <v>94.1</v>
      </c>
      <c r="P45" vm="732">
        <f ca="1"/>
        <v>152.31</v>
      </c>
      <c r="Q45" vm="733">
        <f ca="1"/>
        <v>73.83</v>
      </c>
      <c r="R45" t="e">
        <f ca="1"/>
        <v>#N/A</v>
      </c>
    </row>
    <row r="46" spans="1:18" ht="20" customHeight="1" x14ac:dyDescent="0.2">
      <c r="A46" vm="734">
        <f ca="1"/>
        <v>46022</v>
      </c>
      <c r="B46" vm="735">
        <f ca="1"/>
        <v>313.8</v>
      </c>
      <c r="C46" vm="191">
        <f ca="1"/>
        <v>71.61</v>
      </c>
      <c r="D46" vm="736">
        <f ca="1"/>
        <v>162.01</v>
      </c>
      <c r="E46" vm="737">
        <f ca="1"/>
        <v>78.67</v>
      </c>
      <c r="F46" vm="738">
        <f ca="1"/>
        <v>69.91</v>
      </c>
      <c r="G46" t="e">
        <f ca="1"/>
        <v>#N/A</v>
      </c>
      <c r="H46" vm="739">
        <f ca="1"/>
        <v>111.41</v>
      </c>
      <c r="I46" vm="740">
        <f ca="1"/>
        <v>483.62</v>
      </c>
      <c r="J46" vm="741">
        <f ca="1"/>
        <v>271.86</v>
      </c>
      <c r="K46" vm="742">
        <f ca="1"/>
        <v>346.1</v>
      </c>
      <c r="L46" vm="743">
        <f ca="1"/>
        <v>64.31</v>
      </c>
      <c r="M46" vm="744">
        <f ca="1"/>
        <v>862.34</v>
      </c>
      <c r="N46" vm="745">
        <f ca="1"/>
        <v>230.82</v>
      </c>
      <c r="O46" vm="746">
        <f ca="1"/>
        <v>93.61</v>
      </c>
      <c r="P46" vm="747">
        <f ca="1"/>
        <v>152.41</v>
      </c>
      <c r="Q46" vm="748">
        <f ca="1"/>
        <v>73.48</v>
      </c>
      <c r="R46" t="e">
        <f ca="1"/>
        <v>#N/A</v>
      </c>
    </row>
    <row r="47" spans="1:18" ht="20" customHeight="1" x14ac:dyDescent="0.2">
      <c r="A47" vm="749">
        <f ca="1"/>
        <v>46024</v>
      </c>
      <c r="B47" vm="750">
        <f ca="1"/>
        <v>315.32</v>
      </c>
      <c r="C47" vm="751">
        <f ca="1"/>
        <v>79.319999999999993</v>
      </c>
      <c r="D47" vm="752">
        <f ca="1"/>
        <v>175.61</v>
      </c>
      <c r="E47" vm="753">
        <f ca="1"/>
        <v>80.45</v>
      </c>
      <c r="F47" vm="754">
        <f ca="1"/>
        <v>69.12</v>
      </c>
      <c r="G47" vm="755">
        <f ca="1"/>
        <v>8.1</v>
      </c>
      <c r="H47" vm="756">
        <f ca="1"/>
        <v>112.76</v>
      </c>
      <c r="I47" vm="757">
        <f ca="1"/>
        <v>472.94</v>
      </c>
      <c r="J47" vm="758">
        <f ca="1"/>
        <v>271.01</v>
      </c>
      <c r="K47" vm="759">
        <f ca="1"/>
        <v>347.62</v>
      </c>
      <c r="L47" vm="760">
        <f ca="1"/>
        <v>67.23</v>
      </c>
      <c r="M47" vm="761">
        <f ca="1"/>
        <v>854.5</v>
      </c>
      <c r="N47" vm="762">
        <f ca="1"/>
        <v>226.5</v>
      </c>
      <c r="O47" vm="763">
        <f ca="1"/>
        <v>96.7</v>
      </c>
      <c r="P47" vm="764">
        <f ca="1"/>
        <v>155.9</v>
      </c>
      <c r="Q47" vm="765">
        <f ca="1"/>
        <v>75.44</v>
      </c>
      <c r="R47" t="e">
        <f ca="1"/>
        <v>#N/A</v>
      </c>
    </row>
    <row r="48" spans="1:18" ht="20" customHeight="1" x14ac:dyDescent="0.2">
      <c r="A48" vm="766">
        <f ca="1"/>
        <v>46027</v>
      </c>
      <c r="B48" vm="767">
        <f ca="1"/>
        <v>317.32</v>
      </c>
      <c r="C48" vm="768">
        <f ca="1"/>
        <v>76.86</v>
      </c>
      <c r="D48" vm="769">
        <f ca="1"/>
        <v>173.95</v>
      </c>
      <c r="E48" vm="770">
        <f ca="1"/>
        <v>81.28</v>
      </c>
      <c r="F48" vm="771">
        <f ca="1"/>
        <v>67.94</v>
      </c>
      <c r="G48" vm="772">
        <f ca="1"/>
        <v>8.09</v>
      </c>
      <c r="H48" vm="773">
        <f ca="1"/>
        <v>112.71</v>
      </c>
      <c r="I48" vm="774">
        <f ca="1"/>
        <v>472.85</v>
      </c>
      <c r="J48" vm="775">
        <f ca="1"/>
        <v>267.26</v>
      </c>
      <c r="K48" vm="776">
        <f ca="1"/>
        <v>343.42</v>
      </c>
      <c r="L48" vm="777">
        <f ca="1"/>
        <v>71.569999999999993</v>
      </c>
      <c r="M48" vm="778">
        <f ca="1"/>
        <v>875.74</v>
      </c>
      <c r="N48" vm="779">
        <f ca="1"/>
        <v>233.06</v>
      </c>
      <c r="O48" vm="780">
        <f ca="1"/>
        <v>99.2</v>
      </c>
      <c r="P48" vm="781">
        <f ca="1"/>
        <v>163.85</v>
      </c>
      <c r="Q48" vm="782">
        <f ca="1"/>
        <v>75.03</v>
      </c>
      <c r="R48" t="e">
        <f ca="1"/>
        <v>#N/A</v>
      </c>
    </row>
    <row r="49" spans="1:18" ht="20" customHeight="1" x14ac:dyDescent="0.2">
      <c r="A49" vm="783">
        <f ca="1"/>
        <v>46028</v>
      </c>
      <c r="B49" vm="720">
        <f ca="1"/>
        <v>314.55</v>
      </c>
      <c r="C49" vm="784">
        <f ca="1"/>
        <v>77.94</v>
      </c>
      <c r="D49" vm="785">
        <f ca="1"/>
        <v>174.95</v>
      </c>
      <c r="E49" vm="786">
        <f ca="1"/>
        <v>82.08</v>
      </c>
      <c r="F49" vm="787">
        <f ca="1"/>
        <v>67.84</v>
      </c>
      <c r="G49" vm="788">
        <f ca="1"/>
        <v>7.91</v>
      </c>
      <c r="H49" vm="789">
        <f ca="1"/>
        <v>114.34</v>
      </c>
      <c r="I49" vm="790">
        <f ca="1"/>
        <v>478.51</v>
      </c>
      <c r="J49" vm="791">
        <f ca="1"/>
        <v>262.36</v>
      </c>
      <c r="K49" vm="792">
        <f ca="1"/>
        <v>343.77</v>
      </c>
      <c r="L49" vm="373">
        <f ca="1"/>
        <v>72.88</v>
      </c>
      <c r="M49" vm="793">
        <f ca="1"/>
        <v>889.1</v>
      </c>
      <c r="N49" vm="794">
        <f ca="1"/>
        <v>240.93</v>
      </c>
      <c r="O49" vm="795">
        <f ca="1"/>
        <v>97.11</v>
      </c>
      <c r="P49" vm="796">
        <f ca="1"/>
        <v>156.54</v>
      </c>
      <c r="Q49" vm="797">
        <f ca="1"/>
        <v>72.900000000000006</v>
      </c>
      <c r="R49" t="e">
        <f ca="1"/>
        <v>#N/A</v>
      </c>
    </row>
    <row r="50" spans="1:18" ht="20" customHeight="1" x14ac:dyDescent="0.2">
      <c r="A50" vm="798">
        <f ca="1"/>
        <v>46029</v>
      </c>
      <c r="B50" vm="799">
        <f ca="1"/>
        <v>322.43</v>
      </c>
      <c r="C50" vm="800">
        <f ca="1"/>
        <v>77.180000000000007</v>
      </c>
      <c r="D50" vm="801">
        <f ca="1"/>
        <v>171.54</v>
      </c>
      <c r="E50" vm="659">
        <f ca="1"/>
        <v>80.260000000000005</v>
      </c>
      <c r="F50" vm="802">
        <f ca="1"/>
        <v>67.540000000000006</v>
      </c>
      <c r="G50" vm="803">
        <f ca="1"/>
        <v>7.95</v>
      </c>
      <c r="H50" vm="804">
        <f ca="1"/>
        <v>112.72</v>
      </c>
      <c r="I50" vm="537">
        <f ca="1"/>
        <v>483.47</v>
      </c>
      <c r="J50" vm="805">
        <f ca="1"/>
        <v>260.33</v>
      </c>
      <c r="K50" vm="806">
        <f ca="1"/>
        <v>343.5</v>
      </c>
      <c r="L50" vm="807">
        <f ca="1"/>
        <v>71.34</v>
      </c>
      <c r="M50" vm="808">
        <f ca="1"/>
        <v>882.58</v>
      </c>
      <c r="N50" vm="809">
        <f ca="1"/>
        <v>241.56</v>
      </c>
      <c r="O50" vm="810">
        <f ca="1"/>
        <v>93.94</v>
      </c>
      <c r="P50" vm="811">
        <f ca="1"/>
        <v>155.19999999999999</v>
      </c>
      <c r="Q50" vm="812">
        <f ca="1"/>
        <v>71.540000000000006</v>
      </c>
      <c r="R50" t="e">
        <f ca="1"/>
        <v>#N/A</v>
      </c>
    </row>
    <row r="51" spans="1:18" ht="20" customHeight="1" x14ac:dyDescent="0.2">
      <c r="A51" vm="813">
        <f ca="1"/>
        <v>46030</v>
      </c>
      <c r="B51" vm="814">
        <f ca="1"/>
        <v>326.01</v>
      </c>
      <c r="C51" vm="815">
        <f ca="1"/>
        <v>77.09</v>
      </c>
      <c r="D51" vm="816">
        <f ca="1"/>
        <v>160.78</v>
      </c>
      <c r="E51" vm="817">
        <f ca="1"/>
        <v>80.489999999999995</v>
      </c>
      <c r="F51" vm="818">
        <f ca="1"/>
        <v>69.37</v>
      </c>
      <c r="G51" vm="274">
        <f ca="1"/>
        <v>7.69</v>
      </c>
      <c r="H51" vm="819">
        <f ca="1"/>
        <v>113.07</v>
      </c>
      <c r="I51" vm="820">
        <f ca="1"/>
        <v>478.11</v>
      </c>
      <c r="J51" vm="821">
        <f ca="1"/>
        <v>259.04000000000002</v>
      </c>
      <c r="K51" vm="822">
        <f ca="1"/>
        <v>332.48</v>
      </c>
      <c r="L51" vm="23">
        <f ca="1"/>
        <v>70.16</v>
      </c>
      <c r="M51" vm="823">
        <f ca="1"/>
        <v>915.31</v>
      </c>
      <c r="N51" vm="824">
        <f ca="1"/>
        <v>246.29</v>
      </c>
      <c r="O51" vm="825">
        <f ca="1"/>
        <v>98.72</v>
      </c>
      <c r="P51" vm="826">
        <f ca="1"/>
        <v>159.25</v>
      </c>
      <c r="Q51" vm="827">
        <f ca="1"/>
        <v>70.31</v>
      </c>
      <c r="R51" t="e">
        <f ca="1"/>
        <v>#N/A</v>
      </c>
    </row>
    <row r="52" spans="1:18" ht="20" customHeight="1" x14ac:dyDescent="0.2">
      <c r="A52" vm="828">
        <f ca="1"/>
        <v>46031</v>
      </c>
      <c r="B52" vm="829">
        <f ca="1"/>
        <v>329.14</v>
      </c>
      <c r="C52" vm="830">
        <f ca="1"/>
        <v>80.14</v>
      </c>
      <c r="D52" vm="831">
        <f ca="1"/>
        <v>163.58000000000001</v>
      </c>
      <c r="E52" vm="832">
        <f ca="1"/>
        <v>80.19</v>
      </c>
      <c r="F52" vm="833">
        <f ca="1"/>
        <v>70.510000000000005</v>
      </c>
      <c r="G52" vm="834">
        <f ca="1"/>
        <v>7.99</v>
      </c>
      <c r="H52" vm="835">
        <f ca="1"/>
        <v>114.53</v>
      </c>
      <c r="I52" vm="836">
        <f ca="1"/>
        <v>479.28</v>
      </c>
      <c r="J52" vm="837">
        <f ca="1"/>
        <v>259.37</v>
      </c>
      <c r="K52" vm="838">
        <f ca="1"/>
        <v>344.97</v>
      </c>
      <c r="L52" vm="839">
        <f ca="1"/>
        <v>70.47</v>
      </c>
      <c r="M52" vm="840">
        <f ca="1"/>
        <v>924.88</v>
      </c>
      <c r="N52" vm="841">
        <f ca="1"/>
        <v>247.38</v>
      </c>
      <c r="O52" vm="842">
        <f ca="1"/>
        <v>97.51</v>
      </c>
      <c r="P52" vm="843">
        <f ca="1"/>
        <v>162.11000000000001</v>
      </c>
      <c r="Q52" vm="844">
        <f ca="1"/>
        <v>70.83</v>
      </c>
      <c r="R52" t="e">
        <f ca="1"/>
        <v>#N/A</v>
      </c>
    </row>
    <row r="53" spans="1:18" ht="20" customHeight="1" x14ac:dyDescent="0.2">
      <c r="A53" vm="845">
        <f ca="1"/>
        <v>46034</v>
      </c>
      <c r="B53" vm="846">
        <f ca="1"/>
        <v>332.73</v>
      </c>
      <c r="C53" vm="847">
        <f ca="1"/>
        <v>89.93</v>
      </c>
      <c r="D53" vm="848">
        <f ca="1"/>
        <v>170.03</v>
      </c>
      <c r="E53" vm="849">
        <f ca="1"/>
        <v>81.31</v>
      </c>
      <c r="F53" vm="850">
        <f ca="1"/>
        <v>70.5</v>
      </c>
      <c r="G53" vm="851">
        <f ca="1"/>
        <v>7.85</v>
      </c>
      <c r="H53" vm="852">
        <f ca="1"/>
        <v>117.97</v>
      </c>
      <c r="I53" vm="853">
        <f ca="1"/>
        <v>477.18</v>
      </c>
      <c r="J53" vm="854">
        <f ca="1"/>
        <v>260.25</v>
      </c>
      <c r="K53" vm="855">
        <f ca="1"/>
        <v>352.21</v>
      </c>
      <c r="L53" vm="502">
        <f ca="1"/>
        <v>70.790000000000006</v>
      </c>
      <c r="M53" vm="856">
        <f ca="1"/>
        <v>943.08</v>
      </c>
      <c r="N53" vm="857">
        <f ca="1"/>
        <v>246.47</v>
      </c>
      <c r="O53" vm="858">
        <f ca="1"/>
        <v>95.5</v>
      </c>
      <c r="P53" vm="859">
        <f ca="1"/>
        <v>162.34</v>
      </c>
      <c r="Q53" vm="860">
        <f ca="1"/>
        <v>71.66</v>
      </c>
      <c r="R53" t="e">
        <f ca="1"/>
        <v>#N/A</v>
      </c>
    </row>
    <row r="54" spans="1:18" ht="20" customHeight="1" x14ac:dyDescent="0.2">
      <c r="A54" vm="861">
        <f ca="1"/>
        <v>46035</v>
      </c>
      <c r="B54" vm="862">
        <f ca="1"/>
        <v>336.43</v>
      </c>
      <c r="C54" vm="863">
        <f ca="1"/>
        <v>87.48</v>
      </c>
      <c r="D54" vm="864">
        <f ca="1"/>
        <v>172.72</v>
      </c>
      <c r="E54" vm="865">
        <f ca="1"/>
        <v>81.52</v>
      </c>
      <c r="F54" vm="866">
        <f ca="1"/>
        <v>71.239999999999995</v>
      </c>
      <c r="G54" vm="867">
        <f ca="1"/>
        <v>7.74</v>
      </c>
      <c r="H54" vm="868">
        <f ca="1"/>
        <v>120.36</v>
      </c>
      <c r="I54" vm="869">
        <f ca="1"/>
        <v>470.67</v>
      </c>
      <c r="J54" vm="870">
        <f ca="1"/>
        <v>261.05</v>
      </c>
      <c r="K54" vm="871">
        <f ca="1"/>
        <v>354.61</v>
      </c>
      <c r="L54" vm="872">
        <f ca="1"/>
        <v>70.59</v>
      </c>
      <c r="M54" vm="873">
        <f ca="1"/>
        <v>941.93</v>
      </c>
      <c r="N54" vm="874">
        <f ca="1"/>
        <v>242.6</v>
      </c>
      <c r="O54" vm="875">
        <f ca="1"/>
        <v>96.46</v>
      </c>
      <c r="P54" vm="876">
        <f ca="1"/>
        <v>163.87</v>
      </c>
      <c r="Q54" vm="877">
        <f ca="1"/>
        <v>73.180000000000007</v>
      </c>
      <c r="R54" t="e">
        <f ca="1"/>
        <v>#N/A</v>
      </c>
    </row>
    <row r="55" spans="1:18" ht="20" customHeight="1" x14ac:dyDescent="0.2">
      <c r="A55" vm="878">
        <f ca="1"/>
        <v>46036</v>
      </c>
      <c r="B55" vm="879">
        <f ca="1"/>
        <v>336.31</v>
      </c>
      <c r="C55" vm="880">
        <f ca="1"/>
        <v>89.8</v>
      </c>
      <c r="D55" vm="881">
        <f ca="1"/>
        <v>170.86</v>
      </c>
      <c r="E55" vm="882">
        <f ca="1"/>
        <v>81.760000000000005</v>
      </c>
      <c r="F55" vm="883">
        <f ca="1"/>
        <v>71.44</v>
      </c>
      <c r="G55" vm="632">
        <f ca="1"/>
        <v>7.56</v>
      </c>
      <c r="H55" vm="884">
        <f ca="1"/>
        <v>120.04</v>
      </c>
      <c r="I55" vm="885">
        <f ca="1"/>
        <v>459.38</v>
      </c>
      <c r="J55" vm="886">
        <f ca="1"/>
        <v>259.95999999999998</v>
      </c>
      <c r="K55" vm="887">
        <f ca="1"/>
        <v>339.89</v>
      </c>
      <c r="L55" vm="888">
        <f ca="1"/>
        <v>71.349999999999994</v>
      </c>
      <c r="M55" vm="889">
        <f ca="1"/>
        <v>950.98</v>
      </c>
      <c r="N55" vm="890">
        <f ca="1"/>
        <v>236.65</v>
      </c>
      <c r="O55" vm="891">
        <f ca="1"/>
        <v>100.34</v>
      </c>
      <c r="P55" vm="892">
        <f ca="1"/>
        <v>167.24</v>
      </c>
      <c r="Q55" vm="893">
        <f ca="1"/>
        <v>74.349999999999994</v>
      </c>
      <c r="R55" t="e">
        <f ca="1"/>
        <v>#N/A</v>
      </c>
    </row>
    <row r="56" spans="1:18" ht="20" customHeight="1" x14ac:dyDescent="0.2">
      <c r="A56" vm="894">
        <f ca="1"/>
        <v>46037</v>
      </c>
      <c r="B56" vm="895">
        <f ca="1"/>
        <v>333.16</v>
      </c>
      <c r="C56" vm="896">
        <f ca="1"/>
        <v>95.01</v>
      </c>
      <c r="D56" vm="897">
        <f ca="1"/>
        <v>172.54</v>
      </c>
      <c r="E56" vm="898">
        <f ca="1"/>
        <v>82.83</v>
      </c>
      <c r="F56" vm="899">
        <f ca="1"/>
        <v>70.48</v>
      </c>
      <c r="G56" vm="900">
        <f ca="1"/>
        <v>7.88</v>
      </c>
      <c r="H56" vm="901">
        <f ca="1"/>
        <v>119.2</v>
      </c>
      <c r="I56" vm="902">
        <f ca="1"/>
        <v>456.66</v>
      </c>
      <c r="J56" vm="903">
        <f ca="1"/>
        <v>258.20999999999998</v>
      </c>
      <c r="K56" vm="904">
        <f ca="1"/>
        <v>343.02</v>
      </c>
      <c r="L56" vm="905">
        <f ca="1"/>
        <v>73.680000000000007</v>
      </c>
      <c r="M56" vm="906">
        <f ca="1"/>
        <v>956.75</v>
      </c>
      <c r="N56" vm="907">
        <f ca="1"/>
        <v>238.18</v>
      </c>
      <c r="O56" vm="908">
        <f ca="1"/>
        <v>98.93</v>
      </c>
      <c r="P56" vm="909">
        <f ca="1"/>
        <v>166.16</v>
      </c>
      <c r="Q56" vm="910">
        <f ca="1"/>
        <v>73.42</v>
      </c>
      <c r="R56" t="e">
        <f ca="1"/>
        <v>#N/A</v>
      </c>
    </row>
    <row r="57" spans="1:18" ht="20" customHeight="1" x14ac:dyDescent="0.2">
      <c r="A57" vm="911">
        <f ca="1"/>
        <v>46038</v>
      </c>
      <c r="B57" vm="912">
        <f ca="1"/>
        <v>330.34</v>
      </c>
      <c r="C57" vm="913">
        <f ca="1"/>
        <v>101.23</v>
      </c>
      <c r="D57" vm="914">
        <f ca="1"/>
        <v>176.93</v>
      </c>
      <c r="E57" vm="915">
        <f ca="1"/>
        <v>82.53</v>
      </c>
      <c r="F57" vm="916">
        <f ca="1"/>
        <v>70.44</v>
      </c>
      <c r="G57" vm="723">
        <f ca="1"/>
        <v>7.92</v>
      </c>
      <c r="H57" vm="917">
        <f ca="1"/>
        <v>119.7</v>
      </c>
      <c r="I57" vm="918">
        <f ca="1"/>
        <v>459.86</v>
      </c>
      <c r="J57" vm="919">
        <f ca="1"/>
        <v>255.53</v>
      </c>
      <c r="K57" vm="920">
        <f ca="1"/>
        <v>351.71</v>
      </c>
      <c r="L57" vm="921">
        <f ca="1"/>
        <v>73.36</v>
      </c>
      <c r="M57" vm="922">
        <f ca="1"/>
        <v>963.61</v>
      </c>
      <c r="N57" vm="923">
        <f ca="1"/>
        <v>239.12</v>
      </c>
      <c r="O57" vm="924">
        <f ca="1"/>
        <v>98.19</v>
      </c>
      <c r="P57" vm="660">
        <f ca="1"/>
        <v>166.26</v>
      </c>
      <c r="Q57" vm="925">
        <f ca="1"/>
        <v>74.25</v>
      </c>
      <c r="R57" t="e">
        <f ca="1"/>
        <v>#N/A</v>
      </c>
    </row>
    <row r="58" spans="1:18" ht="20" customHeight="1" x14ac:dyDescent="0.2">
      <c r="A58" vm="926">
        <f ca="1"/>
        <v>46042</v>
      </c>
      <c r="B58" vm="927">
        <f ca="1"/>
        <v>322.16000000000003</v>
      </c>
      <c r="C58" vm="928">
        <f ca="1"/>
        <v>95.22</v>
      </c>
      <c r="D58" vm="929">
        <f ca="1"/>
        <v>175.18</v>
      </c>
      <c r="E58" vm="930">
        <f ca="1"/>
        <v>82.5</v>
      </c>
      <c r="F58" vm="931">
        <f ca="1"/>
        <v>71.75</v>
      </c>
      <c r="G58" vm="374">
        <f ca="1"/>
        <v>7.57</v>
      </c>
      <c r="H58" vm="932">
        <f ca="1"/>
        <v>118.71</v>
      </c>
      <c r="I58" vm="933">
        <f ca="1"/>
        <v>454.52</v>
      </c>
      <c r="J58" vm="934">
        <f ca="1"/>
        <v>246.7</v>
      </c>
      <c r="K58" vm="935">
        <f ca="1"/>
        <v>332.6</v>
      </c>
      <c r="L58" vm="208">
        <f ca="1"/>
        <v>71.510000000000005</v>
      </c>
      <c r="M58" vm="936">
        <f ca="1"/>
        <v>964.26</v>
      </c>
      <c r="N58" vm="937">
        <f ca="1"/>
        <v>231</v>
      </c>
      <c r="O58" vm="938">
        <f ca="1"/>
        <v>95.52</v>
      </c>
      <c r="P58" vm="939">
        <f ca="1"/>
        <v>165.3</v>
      </c>
      <c r="Q58" vm="940">
        <f ca="1"/>
        <v>73.11</v>
      </c>
      <c r="R58" t="e">
        <f ca="1"/>
        <v>#N/A</v>
      </c>
    </row>
    <row r="59" spans="1:18" ht="20" customHeight="1" x14ac:dyDescent="0.2">
      <c r="A59" vm="941">
        <f ca="1"/>
        <v>46043</v>
      </c>
      <c r="B59" vm="942">
        <f ca="1"/>
        <v>328.38</v>
      </c>
      <c r="C59" vm="943">
        <f ca="1"/>
        <v>94.05</v>
      </c>
      <c r="D59" vm="944">
        <f ca="1"/>
        <v>181.47</v>
      </c>
      <c r="E59" vm="945">
        <f ca="1"/>
        <v>83.17</v>
      </c>
      <c r="F59" vm="139">
        <f ca="1"/>
        <v>72.010000000000005</v>
      </c>
      <c r="G59" vm="946">
        <f ca="1"/>
        <v>7.63</v>
      </c>
      <c r="H59" vm="947">
        <f ca="1"/>
        <v>119.36</v>
      </c>
      <c r="I59" vm="948">
        <f ca="1"/>
        <v>444.11</v>
      </c>
      <c r="J59" vm="949">
        <f ca="1"/>
        <v>247.65</v>
      </c>
      <c r="K59" vm="950">
        <f ca="1"/>
        <v>328.8</v>
      </c>
      <c r="L59" vm="951">
        <f ca="1"/>
        <v>75.8</v>
      </c>
      <c r="M59" vm="952">
        <f ca="1"/>
        <v>982.86</v>
      </c>
      <c r="N59" vm="953">
        <f ca="1"/>
        <v>231.31</v>
      </c>
      <c r="O59" vm="954">
        <f ca="1"/>
        <v>97.15</v>
      </c>
      <c r="P59" vm="955">
        <f ca="1"/>
        <v>166.73</v>
      </c>
      <c r="Q59" vm="956">
        <f ca="1"/>
        <v>73.81</v>
      </c>
      <c r="R59" t="e">
        <f ca="1"/>
        <v>#N/A</v>
      </c>
    </row>
    <row r="60" spans="1:18" ht="20" customHeight="1" x14ac:dyDescent="0.2">
      <c r="A60" vm="957">
        <f ca="1"/>
        <v>46044</v>
      </c>
      <c r="B60" vm="958">
        <f ca="1"/>
        <v>330.84</v>
      </c>
      <c r="C60" vm="959">
        <f ca="1"/>
        <v>91.79</v>
      </c>
      <c r="D60" vm="960">
        <f ca="1"/>
        <v>181.12</v>
      </c>
      <c r="E60" vm="961">
        <f ca="1"/>
        <v>83.75</v>
      </c>
      <c r="F60" vm="962">
        <f ca="1"/>
        <v>71.87</v>
      </c>
      <c r="G60" vm="963">
        <f ca="1"/>
        <v>7.78</v>
      </c>
      <c r="H60" vm="964">
        <f ca="1"/>
        <v>117.83</v>
      </c>
      <c r="I60" vm="965">
        <f ca="1"/>
        <v>451.14</v>
      </c>
      <c r="J60" vm="966">
        <f ca="1"/>
        <v>248.35</v>
      </c>
      <c r="K60" vm="967">
        <f ca="1"/>
        <v>325.49</v>
      </c>
      <c r="L60" vm="968">
        <f ca="1"/>
        <v>77.209999999999994</v>
      </c>
      <c r="M60" vm="969">
        <f ca="1"/>
        <v>976.17</v>
      </c>
      <c r="N60" vm="970">
        <f ca="1"/>
        <v>234.34</v>
      </c>
      <c r="O60" vm="971">
        <f ca="1"/>
        <v>96.88</v>
      </c>
      <c r="P60" vm="972">
        <f ca="1"/>
        <v>166.66</v>
      </c>
      <c r="Q60" vm="973">
        <f ca="1"/>
        <v>72.42</v>
      </c>
      <c r="R60" t="e">
        <f ca="1"/>
        <v>#N/A</v>
      </c>
    </row>
    <row r="61" spans="1:18" ht="20" customHeight="1" x14ac:dyDescent="0.2">
      <c r="A61" vm="974">
        <f ca="1"/>
        <v>46045</v>
      </c>
      <c r="B61" vm="975">
        <f ca="1"/>
        <v>328.43</v>
      </c>
      <c r="C61" vm="976">
        <f ca="1"/>
        <v>92.98</v>
      </c>
      <c r="D61" vm="977">
        <f ca="1"/>
        <v>182.49</v>
      </c>
      <c r="E61" vm="978">
        <f ca="1"/>
        <v>83.94</v>
      </c>
      <c r="F61" vm="373">
        <f ca="1"/>
        <v>72.88</v>
      </c>
      <c r="G61" vm="535">
        <f ca="1"/>
        <v>7.81</v>
      </c>
      <c r="H61" vm="979">
        <f ca="1"/>
        <v>117.73</v>
      </c>
      <c r="I61" vm="980">
        <f ca="1"/>
        <v>465.95</v>
      </c>
      <c r="J61" vm="981">
        <f ca="1"/>
        <v>248.04</v>
      </c>
      <c r="K61" vm="982">
        <f ca="1"/>
        <v>320.05</v>
      </c>
      <c r="L61" vm="983">
        <f ca="1"/>
        <v>77.58</v>
      </c>
      <c r="M61" vm="984">
        <f ca="1"/>
        <v>983.25</v>
      </c>
      <c r="N61" vm="985">
        <f ca="1"/>
        <v>239.16</v>
      </c>
      <c r="O61" vm="986">
        <f ca="1"/>
        <v>98.35</v>
      </c>
      <c r="P61" vm="987">
        <f ca="1"/>
        <v>166.72</v>
      </c>
      <c r="Q61" vm="988">
        <f ca="1"/>
        <v>73.75</v>
      </c>
      <c r="R61" t="e">
        <f ca="1"/>
        <v>#N/A</v>
      </c>
    </row>
    <row r="62" spans="1:18" ht="20" customHeight="1" x14ac:dyDescent="0.2">
      <c r="A62" vm="989">
        <f ca="1"/>
        <v>46048</v>
      </c>
      <c r="B62" vm="990">
        <f ca="1"/>
        <v>333.59</v>
      </c>
      <c r="C62" vm="991">
        <f ca="1"/>
        <v>98.31</v>
      </c>
      <c r="D62" vm="992">
        <f ca="1"/>
        <v>181.23</v>
      </c>
      <c r="E62" vm="993">
        <f ca="1"/>
        <v>85.09</v>
      </c>
      <c r="F62" vm="239">
        <f ca="1"/>
        <v>72.56</v>
      </c>
      <c r="G62" vm="994">
        <f ca="1"/>
        <v>7.82</v>
      </c>
      <c r="H62" vm="995">
        <f ca="1"/>
        <v>117.64</v>
      </c>
      <c r="I62" vm="996">
        <f ca="1"/>
        <v>470.28</v>
      </c>
      <c r="J62" vm="997">
        <f ca="1"/>
        <v>255.41</v>
      </c>
      <c r="K62" vm="998">
        <f ca="1"/>
        <v>324.85000000000002</v>
      </c>
      <c r="L62" vm="999">
        <f ca="1"/>
        <v>75.349999999999994</v>
      </c>
      <c r="M62" vm="1000">
        <f ca="1"/>
        <v>977.67</v>
      </c>
      <c r="N62" vm="1001">
        <f ca="1"/>
        <v>238.42</v>
      </c>
      <c r="O62" vm="1002">
        <f ca="1"/>
        <v>98.45</v>
      </c>
      <c r="P62" vm="1003">
        <f ca="1"/>
        <v>167.5</v>
      </c>
      <c r="Q62" vm="1004">
        <f ca="1"/>
        <v>73.25</v>
      </c>
      <c r="R62" t="e">
        <f ca="1"/>
        <v>#N/A</v>
      </c>
    </row>
    <row r="63" spans="1:18" ht="20" customHeight="1" x14ac:dyDescent="0.2">
      <c r="A63" vm="1005">
        <f ca="1"/>
        <v>46049</v>
      </c>
      <c r="B63" vm="1006">
        <f ca="1"/>
        <v>335</v>
      </c>
      <c r="C63" vm="1007">
        <f ca="1"/>
        <v>108.86</v>
      </c>
      <c r="D63" vm="1008">
        <f ca="1"/>
        <v>189.21</v>
      </c>
      <c r="E63" vm="1009">
        <f ca="1"/>
        <v>88.49</v>
      </c>
      <c r="F63" vm="1010">
        <f ca="1"/>
        <v>73.55</v>
      </c>
      <c r="G63" vm="141">
        <f ca="1"/>
        <v>8</v>
      </c>
      <c r="H63" vm="1011">
        <f ca="1"/>
        <v>116.94</v>
      </c>
      <c r="I63" vm="1012">
        <f ca="1"/>
        <v>480.58</v>
      </c>
      <c r="J63" vm="1013">
        <f ca="1"/>
        <v>258.27</v>
      </c>
      <c r="K63" vm="1014">
        <f ca="1"/>
        <v>332.79</v>
      </c>
      <c r="L63" vm="1015">
        <f ca="1"/>
        <v>75.48</v>
      </c>
      <c r="M63" vm="1016">
        <f ca="1"/>
        <v>970.28</v>
      </c>
      <c r="N63" vm="1017">
        <f ca="1"/>
        <v>244.68</v>
      </c>
      <c r="O63" vm="1018">
        <f ca="1"/>
        <v>99.87</v>
      </c>
      <c r="P63" vm="1019">
        <f ca="1"/>
        <v>169.05</v>
      </c>
      <c r="Q63" vm="1020">
        <f ca="1"/>
        <v>75.45</v>
      </c>
      <c r="R63" t="e">
        <f ca="1"/>
        <v>#N/A</v>
      </c>
    </row>
    <row r="64" spans="1:18" ht="20" customHeight="1" x14ac:dyDescent="0.2">
      <c r="A64" vm="1021">
        <f ca="1"/>
        <v>46050</v>
      </c>
      <c r="B64" vm="1022">
        <f ca="1"/>
        <v>336.28</v>
      </c>
      <c r="C64" vm="1023">
        <f ca="1"/>
        <v>106.02</v>
      </c>
      <c r="D64" vm="55">
        <f ca="1"/>
        <v>193.76</v>
      </c>
      <c r="E64" vm="1024">
        <f ca="1"/>
        <v>87</v>
      </c>
      <c r="F64" vm="1025">
        <f ca="1"/>
        <v>73.06</v>
      </c>
      <c r="G64" vm="1026">
        <f ca="1"/>
        <v>8.0299999999999994</v>
      </c>
      <c r="H64" vm="1027">
        <f ca="1"/>
        <v>116.57</v>
      </c>
      <c r="I64" vm="1028">
        <f ca="1"/>
        <v>481.63</v>
      </c>
      <c r="J64" vm="1029">
        <f ca="1"/>
        <v>256.44</v>
      </c>
      <c r="K64" vm="1030">
        <f ca="1"/>
        <v>333.24</v>
      </c>
      <c r="L64" vm="1020">
        <f ca="1"/>
        <v>75.45</v>
      </c>
      <c r="M64" vm="1031">
        <f ca="1"/>
        <v>960.78</v>
      </c>
      <c r="N64" vm="1032">
        <f ca="1"/>
        <v>243.01</v>
      </c>
      <c r="O64" vm="275">
        <f ca="1"/>
        <v>101.39</v>
      </c>
      <c r="P64" vm="1033">
        <f ca="1"/>
        <v>169.93</v>
      </c>
      <c r="Q64" vm="1034">
        <f ca="1"/>
        <v>75.790000000000006</v>
      </c>
      <c r="R64" t="e">
        <f ca="1"/>
        <v>#N/A</v>
      </c>
    </row>
    <row r="65" spans="1:18" ht="20" customHeight="1" x14ac:dyDescent="0.2">
      <c r="A65" vm="1035">
        <f ca="1"/>
        <v>46051</v>
      </c>
      <c r="B65" vm="1036">
        <f ca="1"/>
        <v>338.66</v>
      </c>
      <c r="C65" vm="1037">
        <f ca="1"/>
        <v>99.53</v>
      </c>
      <c r="D65" vm="1038">
        <f ca="1"/>
        <v>195.1</v>
      </c>
      <c r="E65" vm="1039">
        <f ca="1"/>
        <v>88.54</v>
      </c>
      <c r="F65" vm="1040">
        <f ca="1"/>
        <v>73.430000000000007</v>
      </c>
      <c r="G65" vm="1041">
        <f ca="1"/>
        <v>8.2899999999999991</v>
      </c>
      <c r="H65" vm="1042">
        <f ca="1"/>
        <v>117.41</v>
      </c>
      <c r="I65" vm="1043">
        <f ca="1"/>
        <v>433.5</v>
      </c>
      <c r="J65" vm="1044">
        <f ca="1"/>
        <v>258.27999999999997</v>
      </c>
      <c r="K65" vm="1045">
        <f ca="1"/>
        <v>330.73</v>
      </c>
      <c r="L65" vm="1046">
        <f ca="1"/>
        <v>75.66</v>
      </c>
      <c r="M65" vm="1047">
        <f ca="1"/>
        <v>952.89</v>
      </c>
      <c r="N65" vm="1048">
        <f ca="1"/>
        <v>241.73</v>
      </c>
      <c r="O65" vm="1049">
        <f ca="1"/>
        <v>102.8</v>
      </c>
      <c r="P65" vm="1050">
        <f ca="1"/>
        <v>171.19</v>
      </c>
      <c r="Q65" vm="1051">
        <f ca="1"/>
        <v>77.47</v>
      </c>
      <c r="R65" t="e">
        <f ca="1"/>
        <v>#N/A</v>
      </c>
    </row>
    <row r="66" spans="1:18" ht="20" customHeight="1" x14ac:dyDescent="0.2">
      <c r="A66" vm="1052">
        <f ca="1"/>
        <v>46052</v>
      </c>
      <c r="B66" vm="1053">
        <f ca="1"/>
        <v>338.53</v>
      </c>
      <c r="C66" vm="1054">
        <f ca="1"/>
        <v>93.19</v>
      </c>
      <c r="D66" vm="1055">
        <f ca="1"/>
        <v>186.18</v>
      </c>
      <c r="E66" vm="1056">
        <f ca="1"/>
        <v>88.01</v>
      </c>
      <c r="F66" vm="1057">
        <f ca="1"/>
        <v>74.81</v>
      </c>
      <c r="G66" vm="1058">
        <f ca="1"/>
        <v>7.96</v>
      </c>
      <c r="H66" vm="1059">
        <f ca="1"/>
        <v>119.14</v>
      </c>
      <c r="I66" vm="1060">
        <f ca="1"/>
        <v>430.29</v>
      </c>
      <c r="J66" vm="1061">
        <f ca="1"/>
        <v>259.48</v>
      </c>
      <c r="K66" vm="1062">
        <f ca="1"/>
        <v>331.3</v>
      </c>
      <c r="L66" vm="1063">
        <f ca="1"/>
        <v>74.88</v>
      </c>
      <c r="M66" vm="1064">
        <f ca="1"/>
        <v>940.25</v>
      </c>
      <c r="N66" vm="1065">
        <f ca="1"/>
        <v>239.3</v>
      </c>
      <c r="O66" vm="1066">
        <f ca="1"/>
        <v>104.23</v>
      </c>
      <c r="P66" vm="1067">
        <f ca="1"/>
        <v>176.9</v>
      </c>
      <c r="Q66" vm="1068">
        <f ca="1"/>
        <v>77.03</v>
      </c>
      <c r="R66" t="e">
        <f ca="1"/>
        <v>#N/A</v>
      </c>
    </row>
    <row r="67" spans="1:18" ht="20" customHeight="1" x14ac:dyDescent="0.2">
      <c r="A67" vm="1069">
        <f ca="1"/>
        <v>46055</v>
      </c>
      <c r="B67" vm="1070">
        <f ca="1"/>
        <v>344.9</v>
      </c>
      <c r="C67" vm="1071">
        <f ca="1"/>
        <v>88.94</v>
      </c>
      <c r="D67" vm="1072">
        <f ca="1"/>
        <v>190.01</v>
      </c>
      <c r="E67" vm="1073">
        <f ca="1"/>
        <v>89.6</v>
      </c>
      <c r="F67" vm="254">
        <f ca="1"/>
        <v>75.33</v>
      </c>
      <c r="G67" vm="1074">
        <f ca="1"/>
        <v>7.89</v>
      </c>
      <c r="H67" vm="1075">
        <f ca="1"/>
        <v>124.06</v>
      </c>
      <c r="I67" vm="1076">
        <f ca="1"/>
        <v>423.37</v>
      </c>
      <c r="J67" vm="1077">
        <f ca="1"/>
        <v>270.01</v>
      </c>
      <c r="K67" vm="1078">
        <f ca="1"/>
        <v>331.11</v>
      </c>
      <c r="L67" vm="1079">
        <f ca="1"/>
        <v>75.27</v>
      </c>
      <c r="M67" vm="1080">
        <f ca="1"/>
        <v>968.36</v>
      </c>
      <c r="N67" vm="1081">
        <f ca="1"/>
        <v>242.96</v>
      </c>
      <c r="O67" vm="1082">
        <f ca="1"/>
        <v>101.79</v>
      </c>
      <c r="P67" vm="1083">
        <f ca="1"/>
        <v>174.03</v>
      </c>
      <c r="Q67" vm="1084">
        <f ca="1"/>
        <v>75.73</v>
      </c>
      <c r="R67" t="e">
        <f ca="1"/>
        <v>#N/A</v>
      </c>
    </row>
    <row r="68" spans="1:18" ht="20" customHeight="1" x14ac:dyDescent="0.2">
      <c r="A68" vm="1085">
        <f ca="1"/>
        <v>46056</v>
      </c>
      <c r="B68" vm="1086">
        <f ca="1"/>
        <v>340.7</v>
      </c>
      <c r="C68" vm="1087">
        <f ca="1"/>
        <v>90.06</v>
      </c>
      <c r="D68" vm="1088">
        <f ca="1"/>
        <v>190.15</v>
      </c>
      <c r="E68" vm="1089">
        <f ca="1"/>
        <v>88.98</v>
      </c>
      <c r="F68" vm="1090">
        <f ca="1"/>
        <v>76.89</v>
      </c>
      <c r="G68" vm="632">
        <f ca="1"/>
        <v>7.56</v>
      </c>
      <c r="H68" vm="1091">
        <f ca="1"/>
        <v>127.71</v>
      </c>
      <c r="I68" vm="1092">
        <f ca="1"/>
        <v>411.21</v>
      </c>
      <c r="J68" vm="1093">
        <f ca="1"/>
        <v>269.48</v>
      </c>
      <c r="K68" vm="1094">
        <f ca="1"/>
        <v>320.33</v>
      </c>
      <c r="L68" vm="1095">
        <f ca="1"/>
        <v>74.930000000000007</v>
      </c>
      <c r="M68" vm="1096">
        <f ca="1"/>
        <v>977.92</v>
      </c>
      <c r="N68" vm="1097">
        <f ca="1"/>
        <v>238.62</v>
      </c>
      <c r="O68" vm="1098">
        <f ca="1"/>
        <v>104.91</v>
      </c>
      <c r="P68" vm="1099">
        <f ca="1"/>
        <v>178.04</v>
      </c>
      <c r="Q68" vm="1100">
        <f ca="1"/>
        <v>77.63</v>
      </c>
      <c r="R68" t="e">
        <f ca="1"/>
        <v>#N/A</v>
      </c>
    </row>
    <row r="69" spans="1:18" ht="20" customHeight="1" x14ac:dyDescent="0.2">
      <c r="A69" vm="1101">
        <f ca="1"/>
        <v>46057</v>
      </c>
      <c r="B69" vm="1102">
        <f ca="1"/>
        <v>333.34</v>
      </c>
      <c r="C69" vm="1103">
        <f ca="1"/>
        <v>82.46</v>
      </c>
      <c r="D69" vm="1104">
        <f ca="1"/>
        <v>182.56</v>
      </c>
      <c r="E69" vm="1105">
        <f ca="1"/>
        <v>89.41</v>
      </c>
      <c r="F69" vm="1106">
        <f ca="1"/>
        <v>77.349999999999994</v>
      </c>
      <c r="G69" vm="1107">
        <f ca="1"/>
        <v>7.47</v>
      </c>
      <c r="H69" vm="1108">
        <f ca="1"/>
        <v>128</v>
      </c>
      <c r="I69" vm="1109">
        <f ca="1"/>
        <v>414.19</v>
      </c>
      <c r="J69" vm="1110">
        <f ca="1"/>
        <v>276.49</v>
      </c>
      <c r="K69" vm="1111">
        <f ca="1"/>
        <v>308.05</v>
      </c>
      <c r="L69" vm="1112">
        <f ca="1"/>
        <v>73.44</v>
      </c>
      <c r="M69" vm="1113">
        <f ca="1"/>
        <v>978.35</v>
      </c>
      <c r="N69" vm="1114">
        <f ca="1"/>
        <v>232.99</v>
      </c>
      <c r="O69" vm="1115">
        <f ca="1"/>
        <v>107.59</v>
      </c>
      <c r="P69" vm="992">
        <f ca="1"/>
        <v>181.23</v>
      </c>
      <c r="Q69" vm="1116">
        <f ca="1"/>
        <v>78.790000000000006</v>
      </c>
      <c r="R69" t="e">
        <f ca="1"/>
        <v>#N/A</v>
      </c>
    </row>
    <row r="70" spans="1:18" ht="20" customHeight="1" x14ac:dyDescent="0.2">
      <c r="A70" vm="1117">
        <f ca="1"/>
        <v>46058</v>
      </c>
      <c r="B70" vm="1118">
        <f ca="1"/>
        <v>331.33</v>
      </c>
      <c r="C70" vm="1119">
        <f ca="1"/>
        <v>74.650000000000006</v>
      </c>
      <c r="D70" vm="1120">
        <f ca="1"/>
        <v>177.75</v>
      </c>
      <c r="E70" vm="1121">
        <f ca="1"/>
        <v>86.87</v>
      </c>
      <c r="F70" vm="1122">
        <f ca="1"/>
        <v>78.510000000000005</v>
      </c>
      <c r="G70" vm="632">
        <f ca="1"/>
        <v>7.56</v>
      </c>
      <c r="H70" vm="1123">
        <f ca="1"/>
        <v>126.94</v>
      </c>
      <c r="I70" vm="1124">
        <f ca="1"/>
        <v>393.67</v>
      </c>
      <c r="J70" vm="1125">
        <f ca="1"/>
        <v>275.91000000000003</v>
      </c>
      <c r="K70" vm="1126">
        <f ca="1"/>
        <v>310.51</v>
      </c>
      <c r="L70" vm="1127">
        <f ca="1"/>
        <v>69.489999999999995</v>
      </c>
      <c r="M70" vm="1128">
        <f ca="1"/>
        <v>989.29</v>
      </c>
      <c r="N70" vm="297">
        <f ca="1"/>
        <v>222.69</v>
      </c>
      <c r="O70" vm="1129">
        <f ca="1"/>
        <v>104.98</v>
      </c>
      <c r="P70" vm="1130">
        <f ca="1"/>
        <v>179.23</v>
      </c>
      <c r="Q70" vm="1131">
        <f ca="1"/>
        <v>74.63</v>
      </c>
      <c r="R70" t="e">
        <f ca="1"/>
        <v>#N/A</v>
      </c>
    </row>
    <row r="71" spans="1:18" ht="20" customHeight="1" x14ac:dyDescent="0.2">
      <c r="A71" vm="1132">
        <f ca="1"/>
        <v>46059</v>
      </c>
      <c r="B71" vm="1133">
        <f ca="1"/>
        <v>323.10000000000002</v>
      </c>
      <c r="C71" vm="1134">
        <f ca="1"/>
        <v>89.95</v>
      </c>
      <c r="D71" vm="1135">
        <f ca="1"/>
        <v>195.58</v>
      </c>
      <c r="E71" vm="431">
        <f ca="1"/>
        <v>89.29</v>
      </c>
      <c r="F71" vm="1136">
        <f ca="1"/>
        <v>79.03</v>
      </c>
      <c r="G71" vm="241">
        <f ca="1"/>
        <v>7.98</v>
      </c>
      <c r="H71" vm="1137">
        <f ca="1"/>
        <v>131.18</v>
      </c>
      <c r="I71" vm="1138">
        <f ca="1"/>
        <v>401.14</v>
      </c>
      <c r="J71" vm="1139">
        <f ca="1"/>
        <v>278.12</v>
      </c>
      <c r="K71" vm="1140">
        <f ca="1"/>
        <v>332.92</v>
      </c>
      <c r="L71" vm="1141">
        <f ca="1"/>
        <v>74.59</v>
      </c>
      <c r="M71" vm="1142">
        <f ca="1"/>
        <v>1001.16</v>
      </c>
      <c r="N71" vm="1143">
        <f ca="1"/>
        <v>210.32</v>
      </c>
      <c r="O71" vm="1144">
        <f ca="1"/>
        <v>107.62</v>
      </c>
      <c r="P71" vm="1145">
        <f ca="1"/>
        <v>180.86</v>
      </c>
      <c r="Q71" vm="1146">
        <f ca="1"/>
        <v>75.290000000000006</v>
      </c>
      <c r="R71" t="e">
        <f ca="1"/>
        <v>#N/A</v>
      </c>
    </row>
    <row r="72" spans="1:18" ht="20" customHeight="1" x14ac:dyDescent="0.2">
      <c r="A72" vm="1147">
        <f ca="1"/>
        <v>46062</v>
      </c>
      <c r="B72" vm="1148">
        <f ca="1"/>
        <v>324.39999999999998</v>
      </c>
      <c r="C72" vm="1149">
        <f ca="1"/>
        <v>96.79</v>
      </c>
      <c r="D72" vm="1150">
        <f ca="1"/>
        <v>202</v>
      </c>
      <c r="E72" vm="1151">
        <f ca="1"/>
        <v>90.72</v>
      </c>
      <c r="F72" vm="1152">
        <f ca="1"/>
        <v>77.97</v>
      </c>
      <c r="G72" vm="834">
        <f ca="1"/>
        <v>7.99</v>
      </c>
      <c r="H72" vm="1153">
        <f ca="1"/>
        <v>129.02000000000001</v>
      </c>
      <c r="I72" vm="1154">
        <f ca="1"/>
        <v>413.6</v>
      </c>
      <c r="J72" vm="1155">
        <f ca="1"/>
        <v>274.62</v>
      </c>
      <c r="K72" vm="1156">
        <f ca="1"/>
        <v>343.94</v>
      </c>
      <c r="L72" vm="1157">
        <f ca="1"/>
        <v>78.42</v>
      </c>
      <c r="M72" vm="1158">
        <f ca="1"/>
        <v>997.59</v>
      </c>
      <c r="N72" vm="1159">
        <f ca="1"/>
        <v>208.72</v>
      </c>
      <c r="O72" vm="1160">
        <f ca="1"/>
        <v>108.7</v>
      </c>
      <c r="P72" vm="1161">
        <f ca="1"/>
        <v>182.6</v>
      </c>
      <c r="Q72" vm="1162">
        <f ca="1"/>
        <v>77.8</v>
      </c>
      <c r="R72" t="e">
        <f ca="1"/>
        <v>#N/A</v>
      </c>
    </row>
    <row r="73" spans="1:18" ht="20" customHeight="1" x14ac:dyDescent="0.2">
      <c r="A73" vm="1163">
        <f ca="1"/>
        <v>46063</v>
      </c>
      <c r="B73" vm="1164">
        <f ca="1"/>
        <v>318.63</v>
      </c>
      <c r="C73" vm="1165">
        <f ca="1"/>
        <v>95.11</v>
      </c>
      <c r="D73" vm="1166">
        <f ca="1"/>
        <v>199.62</v>
      </c>
      <c r="E73" vm="1167">
        <f ca="1"/>
        <v>89.49</v>
      </c>
      <c r="F73" vm="1168">
        <f ca="1"/>
        <v>76.81</v>
      </c>
      <c r="G73" vm="1169">
        <f ca="1"/>
        <v>8.11</v>
      </c>
      <c r="H73" vm="1170">
        <f ca="1"/>
        <v>126.7</v>
      </c>
      <c r="I73" vm="1171">
        <f ca="1"/>
        <v>413.27</v>
      </c>
      <c r="J73" vm="1172">
        <f ca="1"/>
        <v>273.68</v>
      </c>
      <c r="K73" vm="1173">
        <f ca="1"/>
        <v>340.44</v>
      </c>
      <c r="L73" vm="1174">
        <f ca="1"/>
        <v>77.2</v>
      </c>
      <c r="M73" vm="1175">
        <f ca="1"/>
        <v>971.23</v>
      </c>
      <c r="N73" vm="1176">
        <f ca="1"/>
        <v>206.96</v>
      </c>
      <c r="O73" vm="1177">
        <f ca="1"/>
        <v>107.5</v>
      </c>
      <c r="P73" vm="1178">
        <f ca="1"/>
        <v>182.26</v>
      </c>
      <c r="Q73" vm="1179">
        <f ca="1"/>
        <v>77.900000000000006</v>
      </c>
      <c r="R73" t="e">
        <f ca="1"/>
        <v>#N/A</v>
      </c>
    </row>
    <row r="74" spans="1:18" ht="20" customHeight="1" x14ac:dyDescent="0.2">
      <c r="A74" vm="1180">
        <f ca="1"/>
        <v>46064</v>
      </c>
      <c r="B74" vm="644">
        <f ca="1"/>
        <v>311.33</v>
      </c>
      <c r="C74" vm="1181">
        <f ca="1"/>
        <v>95.15</v>
      </c>
      <c r="D74" vm="1182">
        <f ca="1"/>
        <v>248.51</v>
      </c>
      <c r="E74" vm="232">
        <f ca="1"/>
        <v>89.42</v>
      </c>
      <c r="F74" vm="1183">
        <f ca="1"/>
        <v>78.599999999999994</v>
      </c>
      <c r="G74" vm="1184">
        <f ca="1"/>
        <v>8.01</v>
      </c>
      <c r="H74" vm="1185">
        <f ca="1"/>
        <v>128.77000000000001</v>
      </c>
      <c r="I74" vm="1186">
        <f ca="1"/>
        <v>404.37</v>
      </c>
      <c r="J74" vm="1187">
        <f ca="1"/>
        <v>275.5</v>
      </c>
      <c r="K74" vm="1188">
        <f ca="1"/>
        <v>342.76</v>
      </c>
      <c r="L74" vm="1189">
        <f ca="1"/>
        <v>76.349999999999994</v>
      </c>
      <c r="M74" vm="1190">
        <f ca="1"/>
        <v>978.14</v>
      </c>
      <c r="N74" vm="1191">
        <f ca="1"/>
        <v>204.08</v>
      </c>
      <c r="O74" vm="1192">
        <f ca="1"/>
        <v>111.21</v>
      </c>
      <c r="P74" vm="1193">
        <f ca="1"/>
        <v>185.82</v>
      </c>
      <c r="Q74" vm="1194">
        <f ca="1"/>
        <v>80.23</v>
      </c>
      <c r="R74" t="e">
        <f ca="1"/>
        <v>#N/A</v>
      </c>
    </row>
    <row r="75" spans="1:18" ht="20" customHeight="1" x14ac:dyDescent="0.2">
      <c r="A75" vm="1195">
        <f ca="1"/>
        <v>46065</v>
      </c>
      <c r="B75" vm="1196">
        <f ca="1"/>
        <v>309.37</v>
      </c>
      <c r="C75" vm="1197">
        <f ca="1"/>
        <v>95.7</v>
      </c>
      <c r="D75" vm="1198">
        <f ca="1"/>
        <v>236.51</v>
      </c>
      <c r="E75" vm="32">
        <f ca="1"/>
        <v>86.79</v>
      </c>
      <c r="F75" vm="1199">
        <f ca="1"/>
        <v>79</v>
      </c>
      <c r="G75" vm="663">
        <f ca="1"/>
        <v>7.87</v>
      </c>
      <c r="H75" vm="1200">
        <f ca="1"/>
        <v>133.63999999999999</v>
      </c>
      <c r="I75" vm="1201">
        <f ca="1"/>
        <v>401.84</v>
      </c>
      <c r="J75" vm="1202">
        <f ca="1"/>
        <v>261.73</v>
      </c>
      <c r="K75" vm="1203">
        <f ca="1"/>
        <v>331.17</v>
      </c>
      <c r="L75" vm="1025">
        <f ca="1"/>
        <v>73.06</v>
      </c>
      <c r="M75" vm="1204">
        <f ca="1"/>
        <v>998.86</v>
      </c>
      <c r="N75" vm="1205">
        <f ca="1"/>
        <v>199.6</v>
      </c>
      <c r="O75" vm="1206">
        <f ca="1"/>
        <v>110.83</v>
      </c>
      <c r="P75" vm="1207">
        <f ca="1"/>
        <v>182.4</v>
      </c>
      <c r="Q75" vm="1208">
        <f ca="1"/>
        <v>78.22</v>
      </c>
      <c r="R75" t="e">
        <f ca="1"/>
        <v>#N/A</v>
      </c>
    </row>
    <row r="76" spans="1:18" ht="20" customHeight="1" x14ac:dyDescent="0.2">
      <c r="A76" vm="1209">
        <f ca="1"/>
        <v>46066</v>
      </c>
      <c r="B76" vm="1210">
        <f ca="1"/>
        <v>306.02</v>
      </c>
      <c r="C76" vm="1211">
        <f ca="1"/>
        <v>96.04</v>
      </c>
      <c r="D76" vm="1212">
        <f ca="1"/>
        <v>234.53</v>
      </c>
      <c r="E76" vm="1213">
        <f ca="1"/>
        <v>85.15</v>
      </c>
      <c r="F76" vm="1214">
        <f ca="1"/>
        <v>78.680000000000007</v>
      </c>
      <c r="G76" vm="455">
        <f ca="1"/>
        <v>7.64</v>
      </c>
      <c r="H76" vm="1215">
        <f ca="1"/>
        <v>133.88999999999999</v>
      </c>
      <c r="I76" vm="1216">
        <f ca="1"/>
        <v>401.32</v>
      </c>
      <c r="J76" vm="1217">
        <f ca="1"/>
        <v>255.78</v>
      </c>
      <c r="K76" vm="1218">
        <f ca="1"/>
        <v>325.17</v>
      </c>
      <c r="L76" vm="1219">
        <f ca="1"/>
        <v>74.75</v>
      </c>
      <c r="M76" vm="1220">
        <f ca="1"/>
        <v>1018.48</v>
      </c>
      <c r="N76" vm="1221">
        <f ca="1"/>
        <v>198.79</v>
      </c>
      <c r="O76" vm="1222">
        <f ca="1"/>
        <v>111.43</v>
      </c>
      <c r="P76" vm="1223">
        <f ca="1"/>
        <v>183.74</v>
      </c>
      <c r="Q76" vm="1224">
        <f ca="1"/>
        <v>78.77</v>
      </c>
      <c r="R76" t="e">
        <f ca="1"/>
        <v>#N/A</v>
      </c>
    </row>
    <row r="77" spans="1:18" ht="20" customHeight="1" x14ac:dyDescent="0.2">
      <c r="A77" vm="1225">
        <f ca="1"/>
        <v>46070</v>
      </c>
      <c r="B77" vm="1226">
        <f ca="1"/>
        <v>302.82</v>
      </c>
      <c r="C77" vm="1227">
        <f ca="1"/>
        <v>91</v>
      </c>
      <c r="D77" vm="1228">
        <f ca="1"/>
        <v>243.53</v>
      </c>
      <c r="E77" vm="1229">
        <f ca="1"/>
        <v>86.57</v>
      </c>
      <c r="F77" vm="1230">
        <f ca="1"/>
        <v>79.56</v>
      </c>
      <c r="G77" t="e">
        <f ca="1"/>
        <v>#N/A</v>
      </c>
      <c r="H77" vm="1231">
        <f ca="1"/>
        <v>128.85</v>
      </c>
      <c r="I77" vm="1232">
        <f ca="1"/>
        <v>396.86</v>
      </c>
      <c r="J77" vm="1233">
        <f ca="1"/>
        <v>263.88</v>
      </c>
      <c r="K77" vm="1234">
        <f ca="1"/>
        <v>332.54</v>
      </c>
      <c r="L77" vm="1235">
        <f ca="1"/>
        <v>73.290000000000006</v>
      </c>
      <c r="M77" vm="1236">
        <f ca="1"/>
        <v>1012.05</v>
      </c>
      <c r="N77" vm="1237">
        <f ca="1"/>
        <v>201.15</v>
      </c>
      <c r="O77" vm="1238">
        <f ca="1"/>
        <v>108.78</v>
      </c>
      <c r="P77" vm="1239">
        <f ca="1"/>
        <v>180.55</v>
      </c>
      <c r="Q77" vm="784">
        <f ca="1"/>
        <v>77.94</v>
      </c>
      <c r="R77" t="e">
        <f ca="1"/>
        <v>#N/A</v>
      </c>
    </row>
    <row r="78" spans="1:18" ht="20" customHeight="1" x14ac:dyDescent="0.2">
      <c r="A78" vm="1240">
        <f ca="1"/>
        <v>46071</v>
      </c>
      <c r="B78" vm="1241">
        <f ca="1"/>
        <v>303.94</v>
      </c>
      <c r="C78" vm="1242">
        <f ca="1"/>
        <v>95.45</v>
      </c>
      <c r="D78" vm="1243">
        <f ca="1"/>
        <v>243.21</v>
      </c>
      <c r="E78" vm="1244">
        <f ca="1"/>
        <v>88.1</v>
      </c>
      <c r="F78" vm="1245">
        <f ca="1"/>
        <v>79.489999999999995</v>
      </c>
      <c r="G78" vm="258">
        <f ca="1"/>
        <v>7.9</v>
      </c>
      <c r="H78" vm="1246">
        <f ca="1"/>
        <v>126.62</v>
      </c>
      <c r="I78" vm="1247">
        <f ca="1"/>
        <v>399.6</v>
      </c>
      <c r="J78" vm="1248">
        <f ca="1"/>
        <v>264.35000000000002</v>
      </c>
      <c r="K78" vm="1249">
        <f ca="1"/>
        <v>333.51</v>
      </c>
      <c r="L78" vm="271">
        <f ca="1"/>
        <v>74.900000000000006</v>
      </c>
      <c r="M78" vm="1250">
        <f ca="1"/>
        <v>996.08</v>
      </c>
      <c r="N78" vm="1251">
        <f ca="1"/>
        <v>204.79</v>
      </c>
      <c r="O78" vm="1252">
        <f ca="1"/>
        <v>110.52</v>
      </c>
      <c r="P78" vm="1253">
        <f ca="1"/>
        <v>183.87</v>
      </c>
      <c r="Q78" vm="1254">
        <f ca="1"/>
        <v>79.87</v>
      </c>
      <c r="R78" t="e">
        <f ca="1"/>
        <v>#N/A</v>
      </c>
    </row>
    <row r="79" spans="1:18" ht="20" customHeight="1" x14ac:dyDescent="0.2">
      <c r="A79" vm="1255">
        <f ca="1"/>
        <v>46072</v>
      </c>
      <c r="B79" vm="1256">
        <f ca="1"/>
        <v>303.56</v>
      </c>
      <c r="C79" vm="1257">
        <f ca="1"/>
        <v>97.14</v>
      </c>
      <c r="D79" vm="1258">
        <f ca="1"/>
        <v>243.06</v>
      </c>
      <c r="E79" vm="1259">
        <f ca="1"/>
        <v>86.84</v>
      </c>
      <c r="F79" vm="1260">
        <f ca="1"/>
        <v>78.91</v>
      </c>
      <c r="G79" vm="963">
        <f ca="1"/>
        <v>7.78</v>
      </c>
      <c r="H79" vm="1261">
        <f ca="1"/>
        <v>124.87</v>
      </c>
      <c r="I79" vm="1262">
        <f ca="1"/>
        <v>398.46</v>
      </c>
      <c r="J79" vm="1263">
        <f ca="1"/>
        <v>260.58</v>
      </c>
      <c r="K79" vm="1264">
        <f ca="1"/>
        <v>333.99</v>
      </c>
      <c r="L79" vm="1265">
        <f ca="1"/>
        <v>73.989999999999995</v>
      </c>
      <c r="M79" vm="1266">
        <f ca="1"/>
        <v>987.82</v>
      </c>
      <c r="N79" vm="1267">
        <f ca="1"/>
        <v>204.86</v>
      </c>
      <c r="O79" vm="1268">
        <f ca="1"/>
        <v>111.59</v>
      </c>
      <c r="P79" vm="1269">
        <f ca="1"/>
        <v>184.78</v>
      </c>
      <c r="Q79" vm="1270">
        <f ca="1"/>
        <v>80.38</v>
      </c>
      <c r="R79" t="e">
        <f ca="1"/>
        <v>#N/A</v>
      </c>
    </row>
    <row r="80" spans="1:18" ht="20" customHeight="1" x14ac:dyDescent="0.2">
      <c r="A80" vm="1271">
        <f ca="1"/>
        <v>46073</v>
      </c>
      <c r="B80" vm="1272">
        <f ca="1"/>
        <v>314.89999999999998</v>
      </c>
      <c r="C80" vm="1273">
        <f ca="1"/>
        <v>89.25</v>
      </c>
      <c r="D80" vm="1274">
        <f ca="1"/>
        <v>243.75</v>
      </c>
      <c r="E80" vm="1275">
        <f ca="1"/>
        <v>88.15</v>
      </c>
      <c r="F80" vm="1276">
        <f ca="1"/>
        <v>79.84</v>
      </c>
      <c r="G80" vm="1074">
        <f ca="1"/>
        <v>7.89</v>
      </c>
      <c r="H80" vm="1277">
        <f ca="1"/>
        <v>122.99</v>
      </c>
      <c r="I80" vm="1278">
        <f ca="1"/>
        <v>397.23</v>
      </c>
      <c r="J80" vm="1279">
        <f ca="1"/>
        <v>264.58</v>
      </c>
      <c r="K80" vm="1280">
        <f ca="1"/>
        <v>332.65</v>
      </c>
      <c r="L80" vm="1281">
        <f ca="1"/>
        <v>74.394999999999996</v>
      </c>
      <c r="M80" vm="1282">
        <f ca="1"/>
        <v>985.27</v>
      </c>
      <c r="N80" vm="1283">
        <f ca="1"/>
        <v>210.11</v>
      </c>
      <c r="O80" vm="1284">
        <f ca="1"/>
        <v>110.53</v>
      </c>
      <c r="P80" vm="1285">
        <f ca="1"/>
        <v>183.93</v>
      </c>
      <c r="Q80" vm="1286">
        <f ca="1"/>
        <v>79.78</v>
      </c>
      <c r="R80" t="e">
        <f ca="1"/>
        <v>#N/A</v>
      </c>
    </row>
    <row r="81" spans="1:18" ht="20" customHeight="1" x14ac:dyDescent="0.2">
      <c r="A81" vm="1287">
        <f ca="1"/>
        <v>46076</v>
      </c>
      <c r="B81" vm="1288">
        <f ca="1"/>
        <v>311.69</v>
      </c>
      <c r="C81" vm="1289">
        <f ca="1"/>
        <v>90.84</v>
      </c>
      <c r="D81" vm="1290">
        <f ca="1"/>
        <v>245.42</v>
      </c>
      <c r="E81" vm="1291">
        <f ca="1"/>
        <v>87.4</v>
      </c>
      <c r="F81" vm="1292">
        <f ca="1"/>
        <v>80.56</v>
      </c>
      <c r="G81" vm="723">
        <f ca="1"/>
        <v>7.92</v>
      </c>
      <c r="H81" vm="1293">
        <f ca="1"/>
        <v>125.81</v>
      </c>
      <c r="I81" vm="1294">
        <f ca="1"/>
        <v>384.47</v>
      </c>
      <c r="J81" vm="1295">
        <f ca="1"/>
        <v>266.18</v>
      </c>
      <c r="K81" vm="912">
        <f ca="1"/>
        <v>330.34</v>
      </c>
      <c r="L81" vm="812">
        <f ca="1"/>
        <v>71.540000000000006</v>
      </c>
      <c r="M81" vm="1296">
        <f ca="1"/>
        <v>986.02</v>
      </c>
      <c r="N81" vm="1297">
        <f ca="1"/>
        <v>205.27</v>
      </c>
      <c r="O81" vm="1298">
        <f ca="1"/>
        <v>109.88</v>
      </c>
      <c r="P81" vm="1299">
        <f ca="1"/>
        <v>184.91</v>
      </c>
      <c r="Q81" vm="694">
        <f ca="1"/>
        <v>79.97</v>
      </c>
      <c r="R81" t="e">
        <f ca="1"/>
        <v>#N/A</v>
      </c>
    </row>
    <row r="82" spans="1:18" ht="20" customHeight="1" x14ac:dyDescent="0.2">
      <c r="A82" vm="1300">
        <f ca="1"/>
        <v>46077</v>
      </c>
      <c r="B82" vm="1301">
        <f ca="1"/>
        <v>310.92</v>
      </c>
      <c r="C82" vm="1302">
        <f ca="1"/>
        <v>99.3</v>
      </c>
      <c r="D82" vm="1303">
        <f ca="1"/>
        <v>253.15</v>
      </c>
      <c r="E82" vm="1304">
        <f ca="1"/>
        <v>87.88</v>
      </c>
      <c r="F82" vm="1305">
        <f ca="1"/>
        <v>80.72</v>
      </c>
      <c r="G82" vm="1041">
        <f ca="1"/>
        <v>8.2899999999999991</v>
      </c>
      <c r="H82" vm="1306">
        <f ca="1"/>
        <v>126.75</v>
      </c>
      <c r="I82" vm="1307">
        <f ca="1"/>
        <v>389</v>
      </c>
      <c r="J82" vm="1308">
        <f ca="1"/>
        <v>272.14</v>
      </c>
      <c r="K82" vm="967">
        <f ca="1"/>
        <v>325.49</v>
      </c>
      <c r="L82" vm="1309">
        <f ca="1"/>
        <v>71.92</v>
      </c>
      <c r="M82" vm="1310">
        <f ca="1"/>
        <v>998.43</v>
      </c>
      <c r="N82" vm="1311">
        <f ca="1"/>
        <v>208.56</v>
      </c>
      <c r="O82" vm="1312">
        <f ca="1"/>
        <v>110.59</v>
      </c>
      <c r="P82" vm="1313">
        <f ca="1"/>
        <v>185.34</v>
      </c>
      <c r="Q82" vm="1314">
        <f ca="1"/>
        <v>80.78</v>
      </c>
      <c r="R82" t="e">
        <f ca="1"/>
        <v>#N/A</v>
      </c>
    </row>
    <row r="83" spans="1:18" ht="20" customHeight="1" x14ac:dyDescent="0.2">
      <c r="A83" vm="1315">
        <f ca="1"/>
        <v>46078</v>
      </c>
      <c r="B83" vm="1316">
        <f ca="1"/>
        <v>313.02999999999997</v>
      </c>
      <c r="C83" vm="1317">
        <f ca="1"/>
        <v>98.01</v>
      </c>
      <c r="D83" vm="1318">
        <f ca="1"/>
        <v>262.19</v>
      </c>
      <c r="E83" vm="1319">
        <f ca="1"/>
        <v>94.2</v>
      </c>
      <c r="F83" vm="1320">
        <f ca="1"/>
        <v>80.47</v>
      </c>
      <c r="G83" vm="24">
        <f ca="1"/>
        <v>8.24</v>
      </c>
      <c r="H83" vm="1321">
        <f ca="1"/>
        <v>125.75</v>
      </c>
      <c r="I83" vm="1322">
        <f ca="1"/>
        <v>400.6</v>
      </c>
      <c r="J83" vm="1323">
        <f ca="1"/>
        <v>274.23</v>
      </c>
      <c r="K83" vm="1324">
        <f ca="1"/>
        <v>332.31</v>
      </c>
      <c r="L83" vm="1325">
        <f ca="1"/>
        <v>73.650000000000006</v>
      </c>
      <c r="M83" vm="1326">
        <f ca="1"/>
        <v>994.76</v>
      </c>
      <c r="N83" vm="1327">
        <f ca="1"/>
        <v>210.64</v>
      </c>
      <c r="O83" vm="1328">
        <f ca="1"/>
        <v>110.01</v>
      </c>
      <c r="P83" vm="1329">
        <f ca="1"/>
        <v>184.22</v>
      </c>
      <c r="Q83" vm="1330">
        <f ca="1"/>
        <v>82.28</v>
      </c>
      <c r="R83" t="e">
        <f ca="1"/>
        <v>#N/A</v>
      </c>
    </row>
    <row r="84" spans="1:18" ht="20" customHeight="1" x14ac:dyDescent="0.2">
      <c r="A84" vm="1331">
        <f ca="1"/>
        <v>46079</v>
      </c>
      <c r="B84" vm="1332">
        <f ca="1"/>
        <v>307.14999999999998</v>
      </c>
      <c r="C84" vm="1333">
        <f ca="1"/>
        <v>97.63</v>
      </c>
      <c r="D84" vm="1334">
        <f ca="1"/>
        <v>259.23</v>
      </c>
      <c r="E84" vm="1335">
        <f ca="1"/>
        <v>94.5</v>
      </c>
      <c r="F84" vm="1336">
        <f ca="1"/>
        <v>80.5</v>
      </c>
      <c r="G84" vm="1041">
        <f ca="1"/>
        <v>8.2899999999999991</v>
      </c>
      <c r="H84" vm="1337">
        <f ca="1"/>
        <v>124.42</v>
      </c>
      <c r="I84" vm="1338">
        <f ca="1"/>
        <v>401.72</v>
      </c>
      <c r="J84" vm="227">
        <f ca="1"/>
        <v>272.95</v>
      </c>
      <c r="K84" vm="1339">
        <f ca="1"/>
        <v>321.7</v>
      </c>
      <c r="L84" vm="1340">
        <f ca="1"/>
        <v>74.56</v>
      </c>
      <c r="M84" vm="1341">
        <f ca="1"/>
        <v>986.74</v>
      </c>
      <c r="N84" vm="1342">
        <f ca="1"/>
        <v>207.92</v>
      </c>
      <c r="O84" vm="1343">
        <f ca="1"/>
        <v>110.7</v>
      </c>
      <c r="P84" vm="1344">
        <f ca="1"/>
        <v>184.16</v>
      </c>
      <c r="Q84" vm="1345">
        <f ca="1"/>
        <v>81.180000000000007</v>
      </c>
      <c r="R84" t="e">
        <f ca="1"/>
        <v>#N/A</v>
      </c>
    </row>
    <row r="85" spans="1:18" ht="20" customHeight="1" x14ac:dyDescent="0.2">
      <c r="A85" vm="1346">
        <f ca="1"/>
        <v>46080</v>
      </c>
      <c r="B85" vm="1347">
        <f ca="1"/>
        <v>311.43</v>
      </c>
      <c r="C85" vm="1230">
        <f ca="1"/>
        <v>79.56</v>
      </c>
      <c r="D85" vm="1348">
        <f ca="1"/>
        <v>254.89</v>
      </c>
      <c r="E85" vm="1349">
        <f ca="1"/>
        <v>93.16</v>
      </c>
      <c r="F85" vm="1350">
        <f ca="1"/>
        <v>81.56</v>
      </c>
      <c r="G85" vm="1351">
        <f ca="1"/>
        <v>7.54</v>
      </c>
      <c r="H85" vm="1352">
        <f ca="1"/>
        <v>127.95</v>
      </c>
      <c r="I85" vm="1353">
        <f ca="1"/>
        <v>392.74</v>
      </c>
      <c r="J85" vm="1354">
        <f ca="1"/>
        <v>264.18</v>
      </c>
      <c r="K85" vm="1355">
        <f ca="1"/>
        <v>319.55</v>
      </c>
      <c r="L85" vm="1356">
        <f ca="1"/>
        <v>71.19</v>
      </c>
      <c r="M85" vm="1357">
        <f ca="1"/>
        <v>1010.79</v>
      </c>
      <c r="N85" vm="1358">
        <f ca="1"/>
        <v>210</v>
      </c>
      <c r="O85" vm="1359">
        <f ca="1"/>
        <v>113.46</v>
      </c>
      <c r="P85" vm="1360">
        <f ca="1"/>
        <v>186.76</v>
      </c>
      <c r="Q85" vm="1361">
        <f ca="1"/>
        <v>83.51</v>
      </c>
      <c r="R85" t="e">
        <f ca="1"/>
        <v>#N/A</v>
      </c>
    </row>
    <row r="86" spans="1:18" ht="20" customHeight="1" x14ac:dyDescent="0.2">
      <c r="A86" vm="1362">
        <f ca="1"/>
        <v>46083</v>
      </c>
      <c r="B86" vm="1363">
        <f ca="1"/>
        <v>306.36</v>
      </c>
      <c r="C86" vm="1364">
        <f ca="1"/>
        <v>78.05</v>
      </c>
      <c r="D86" vm="1365">
        <f ca="1"/>
        <v>257.75</v>
      </c>
      <c r="E86" vm="1366">
        <f ca="1"/>
        <v>89.73</v>
      </c>
      <c r="F86" vm="1367">
        <f ca="1"/>
        <v>80.22</v>
      </c>
      <c r="G86" vm="455">
        <f ca="1"/>
        <v>7.64</v>
      </c>
      <c r="H86" vm="1368">
        <f ca="1"/>
        <v>127.1</v>
      </c>
      <c r="I86" vm="1369">
        <f ca="1"/>
        <v>398.55</v>
      </c>
      <c r="J86" vm="1370">
        <f ca="1"/>
        <v>264.72000000000003</v>
      </c>
      <c r="K86" vm="1371">
        <f ca="1"/>
        <v>318.82</v>
      </c>
      <c r="L86" vm="1372">
        <f ca="1"/>
        <v>71.67</v>
      </c>
      <c r="M86" vm="1373">
        <f ca="1"/>
        <v>1002.77</v>
      </c>
      <c r="N86" vm="1374">
        <f ca="1"/>
        <v>208.39</v>
      </c>
      <c r="O86" vm="1375">
        <f ca="1"/>
        <v>118.24</v>
      </c>
      <c r="P86" vm="1376">
        <f ca="1"/>
        <v>189.6</v>
      </c>
      <c r="Q86" vm="1377">
        <f ca="1"/>
        <v>84.22</v>
      </c>
      <c r="R86" t="e">
        <f ca="1"/>
        <v>#N/A</v>
      </c>
    </row>
    <row r="87" spans="1:18" ht="20" customHeight="1" x14ac:dyDescent="0.2">
      <c r="A87" vm="1378">
        <f ca="1"/>
        <v>46084</v>
      </c>
      <c r="B87" vm="1256">
        <f ca="1"/>
        <v>303.56</v>
      </c>
      <c r="C87" vm="1379">
        <f ca="1"/>
        <v>73.78</v>
      </c>
      <c r="D87" vm="1380">
        <f ca="1"/>
        <v>244.44</v>
      </c>
      <c r="E87" vm="1381">
        <f ca="1"/>
        <v>85.49</v>
      </c>
      <c r="F87" vm="1382">
        <f ca="1"/>
        <v>79.34</v>
      </c>
      <c r="G87" vm="389">
        <f ca="1"/>
        <v>7.5</v>
      </c>
      <c r="H87" vm="1383">
        <f ca="1"/>
        <v>127.91</v>
      </c>
      <c r="I87" vm="1384">
        <f ca="1"/>
        <v>403.93</v>
      </c>
      <c r="J87" vm="1385">
        <f ca="1"/>
        <v>263.75</v>
      </c>
      <c r="K87" vm="1386">
        <f ca="1"/>
        <v>313.83999999999997</v>
      </c>
      <c r="L87" vm="1387">
        <f ca="1"/>
        <v>69.400000000000006</v>
      </c>
      <c r="M87" vm="1388">
        <f ca="1"/>
        <v>1007.77</v>
      </c>
      <c r="N87" vm="1389">
        <f ca="1"/>
        <v>208.73</v>
      </c>
      <c r="O87" vm="1390">
        <f ca="1"/>
        <v>118.52</v>
      </c>
      <c r="P87" vm="1391">
        <f ca="1"/>
        <v>188.77</v>
      </c>
      <c r="Q87" vm="1392">
        <f ca="1"/>
        <v>82.33</v>
      </c>
      <c r="R87" t="e">
        <f ca="1"/>
        <v>#N/A</v>
      </c>
    </row>
    <row r="88" spans="1:18" ht="20" customHeight="1" x14ac:dyDescent="0.2">
      <c r="A88" vm="1393">
        <f ca="1"/>
        <v>46085</v>
      </c>
      <c r="B88" vm="1394">
        <f ca="1"/>
        <v>303.45</v>
      </c>
      <c r="C88" vm="1395">
        <f ca="1"/>
        <v>79.5</v>
      </c>
      <c r="D88" vm="1396">
        <f ca="1"/>
        <v>251.28</v>
      </c>
      <c r="E88" vm="1397">
        <f ca="1"/>
        <v>87.19</v>
      </c>
      <c r="F88" vm="1398">
        <f ca="1"/>
        <v>78.099999999999994</v>
      </c>
      <c r="G88" vm="834">
        <f ca="1"/>
        <v>7.99</v>
      </c>
      <c r="H88" vm="1399">
        <f ca="1"/>
        <v>127.81</v>
      </c>
      <c r="I88" vm="1400">
        <f ca="1"/>
        <v>405.2</v>
      </c>
      <c r="J88" vm="1401">
        <f ca="1"/>
        <v>262.52</v>
      </c>
      <c r="K88" vm="1402">
        <f ca="1"/>
        <v>317.52999999999997</v>
      </c>
      <c r="L88" vm="1403">
        <f ca="1"/>
        <v>69.150000000000006</v>
      </c>
      <c r="M88" vm="1404">
        <f ca="1"/>
        <v>1006.74</v>
      </c>
      <c r="N88" vm="1405">
        <f ca="1"/>
        <v>216.82</v>
      </c>
      <c r="O88" vm="1406">
        <f ca="1"/>
        <v>115.65</v>
      </c>
      <c r="P88" vm="1407">
        <f ca="1"/>
        <v>186.03</v>
      </c>
      <c r="Q88" vm="1408">
        <f ca="1"/>
        <v>82.7</v>
      </c>
      <c r="R88" t="e">
        <f ca="1"/>
        <v>#N/A</v>
      </c>
    </row>
    <row r="89" spans="1:18" ht="20" customHeight="1" x14ac:dyDescent="0.2">
      <c r="A89" vm="1409">
        <f ca="1"/>
        <v>46086</v>
      </c>
      <c r="B89" vm="1410">
        <f ca="1"/>
        <v>300.91000000000003</v>
      </c>
      <c r="C89" vm="1411">
        <f ca="1"/>
        <v>74.819999999999993</v>
      </c>
      <c r="D89" vm="1412">
        <f ca="1"/>
        <v>249.75</v>
      </c>
      <c r="E89" vm="451">
        <f ca="1"/>
        <v>85.75</v>
      </c>
      <c r="F89" vm="1068">
        <f ca="1"/>
        <v>77.03</v>
      </c>
      <c r="G89" vm="1413">
        <f ca="1"/>
        <v>7.68</v>
      </c>
      <c r="H89" vm="1414">
        <f ca="1"/>
        <v>123.31</v>
      </c>
      <c r="I89" vm="1415">
        <f ca="1"/>
        <v>410.68</v>
      </c>
      <c r="J89" vm="1416">
        <f ca="1"/>
        <v>260.29000000000002</v>
      </c>
      <c r="K89" vm="1417">
        <f ca="1"/>
        <v>332.77</v>
      </c>
      <c r="L89" vm="1418">
        <f ca="1"/>
        <v>68.05</v>
      </c>
      <c r="M89" vm="1419">
        <f ca="1"/>
        <v>982.57</v>
      </c>
      <c r="N89" vm="1420">
        <f ca="1"/>
        <v>218.94</v>
      </c>
      <c r="O89" vm="1421">
        <f ca="1"/>
        <v>116.82</v>
      </c>
      <c r="P89" vm="1422">
        <f ca="1"/>
        <v>189.9</v>
      </c>
      <c r="Q89" vm="1423">
        <f ca="1"/>
        <v>82.94</v>
      </c>
      <c r="R89" t="e">
        <f ca="1"/>
        <v>#N/A</v>
      </c>
    </row>
    <row r="90" spans="1:18" ht="20" customHeight="1" x14ac:dyDescent="0.2">
      <c r="A90" vm="1424">
        <f ca="1"/>
        <v>46087</v>
      </c>
      <c r="B90" vm="1425">
        <f ca="1"/>
        <v>298.3</v>
      </c>
      <c r="C90" vm="1426">
        <f ca="1"/>
        <v>72.989999999999995</v>
      </c>
      <c r="D90" vm="1427">
        <f ca="1"/>
        <v>241.78</v>
      </c>
      <c r="E90" vm="1428">
        <f ca="1"/>
        <v>84.05</v>
      </c>
      <c r="F90" vm="1429">
        <f ca="1"/>
        <v>77.040000000000006</v>
      </c>
      <c r="G90" vm="946">
        <f ca="1"/>
        <v>7.63</v>
      </c>
      <c r="H90" vm="1430">
        <f ca="1"/>
        <v>123.8</v>
      </c>
      <c r="I90" vm="1431">
        <f ca="1"/>
        <v>408.96</v>
      </c>
      <c r="J90" vm="1432">
        <f ca="1"/>
        <v>257.45999999999998</v>
      </c>
      <c r="K90" vm="1433">
        <f ca="1"/>
        <v>330.48</v>
      </c>
      <c r="L90" vm="1434">
        <f ca="1"/>
        <v>66.7</v>
      </c>
      <c r="M90" vm="1435">
        <f ca="1"/>
        <v>998.1</v>
      </c>
      <c r="N90" vm="1436">
        <f ca="1"/>
        <v>213.21</v>
      </c>
      <c r="O90" vm="1437">
        <f ca="1"/>
        <v>117.07</v>
      </c>
      <c r="P90" vm="1438">
        <f ca="1"/>
        <v>189.94</v>
      </c>
      <c r="Q90" vm="1439">
        <f ca="1"/>
        <v>84.7</v>
      </c>
      <c r="R90" t="e">
        <f ca="1"/>
        <v>#N/A</v>
      </c>
    </row>
    <row r="91" spans="1:18" ht="20" customHeight="1" x14ac:dyDescent="0.2">
      <c r="A91" vm="1440">
        <f ca="1"/>
        <v>46090</v>
      </c>
      <c r="B91" vm="1441">
        <f ca="1"/>
        <v>306.01</v>
      </c>
      <c r="C91" vm="1442">
        <f ca="1"/>
        <v>74.41</v>
      </c>
      <c r="D91" vm="1248">
        <f ca="1"/>
        <v>264.35000000000002</v>
      </c>
      <c r="E91" vm="1381">
        <f ca="1"/>
        <v>85.49</v>
      </c>
      <c r="F91" vm="1162">
        <f ca="1"/>
        <v>77.8</v>
      </c>
      <c r="G91" vm="1443">
        <f ca="1"/>
        <v>7.6</v>
      </c>
      <c r="H91" vm="1444">
        <f ca="1"/>
        <v>124.34</v>
      </c>
      <c r="I91" vm="1445">
        <f ca="1"/>
        <v>409.41</v>
      </c>
      <c r="J91" vm="1446">
        <f ca="1"/>
        <v>259.88</v>
      </c>
      <c r="K91" vm="1447">
        <f ca="1"/>
        <v>345.75</v>
      </c>
      <c r="L91" vm="1448">
        <f ca="1"/>
        <v>67.489999999999995</v>
      </c>
      <c r="M91" vm="1449">
        <f ca="1"/>
        <v>1005.3</v>
      </c>
      <c r="N91" vm="1450">
        <f ca="1"/>
        <v>213.49</v>
      </c>
      <c r="O91" vm="1451">
        <f ca="1"/>
        <v>117.03</v>
      </c>
      <c r="P91" vm="1452">
        <f ca="1"/>
        <v>189.44</v>
      </c>
      <c r="Q91" vm="1453">
        <f ca="1"/>
        <v>85.59</v>
      </c>
      <c r="R91" t="e">
        <f ca="1"/>
        <v>#N/A</v>
      </c>
    </row>
    <row r="92" spans="1:18" ht="20" customHeight="1" x14ac:dyDescent="0.2">
      <c r="A92" vm="1454">
        <f ca="1"/>
        <v>46091</v>
      </c>
      <c r="B92" vm="1455">
        <f ca="1"/>
        <v>306.93</v>
      </c>
      <c r="C92" vm="84">
        <f ca="1"/>
        <v>74.92</v>
      </c>
      <c r="D92" vm="1456">
        <f ca="1"/>
        <v>270.06</v>
      </c>
      <c r="E92" vm="1457">
        <f ca="1"/>
        <v>85.84</v>
      </c>
      <c r="F92" vm="1458">
        <f ca="1"/>
        <v>77.88</v>
      </c>
      <c r="G92" vm="1459">
        <f ca="1"/>
        <v>7.76</v>
      </c>
      <c r="H92" vm="1460">
        <f ca="1"/>
        <v>125.12</v>
      </c>
      <c r="I92" vm="1461">
        <f ca="1"/>
        <v>405.76</v>
      </c>
      <c r="J92" vm="1462">
        <f ca="1"/>
        <v>260.83</v>
      </c>
      <c r="K92" vm="1463">
        <f ca="1"/>
        <v>342.58</v>
      </c>
      <c r="L92" vm="1464">
        <f ca="1"/>
        <v>68.5</v>
      </c>
      <c r="M92" vm="1465">
        <f ca="1"/>
        <v>997.36</v>
      </c>
      <c r="N92" vm="1466">
        <f ca="1"/>
        <v>214.33</v>
      </c>
      <c r="O92" vm="1467">
        <f ca="1"/>
        <v>114.15</v>
      </c>
      <c r="P92" vm="1468">
        <f ca="1"/>
        <v>186.29</v>
      </c>
      <c r="Q92" vm="1469">
        <f ca="1"/>
        <v>85.11</v>
      </c>
      <c r="R92" t="e">
        <f ca="1"/>
        <v>#N/A</v>
      </c>
    </row>
    <row r="93" spans="1:18" ht="20" customHeight="1" x14ac:dyDescent="0.2">
      <c r="A93" vm="1470">
        <f ca="1"/>
        <v>46092</v>
      </c>
      <c r="B93" vm="1471">
        <f ca="1"/>
        <v>308.42</v>
      </c>
      <c r="C93" vm="1472">
        <f ca="1"/>
        <v>81.96</v>
      </c>
      <c r="D93" vm="1473">
        <f ca="1"/>
        <v>268.26</v>
      </c>
      <c r="E93" vm="1474">
        <f ca="1"/>
        <v>85.97</v>
      </c>
      <c r="F93" vm="1100">
        <f ca="1"/>
        <v>77.63</v>
      </c>
      <c r="G93" vm="963">
        <f ca="1"/>
        <v>7.78</v>
      </c>
      <c r="H93" vm="1475">
        <f ca="1"/>
        <v>123.49</v>
      </c>
      <c r="I93" vm="1476">
        <f ca="1"/>
        <v>404.88</v>
      </c>
      <c r="J93" vm="1477">
        <f ca="1"/>
        <v>260.81</v>
      </c>
      <c r="K93" vm="1478">
        <f ca="1"/>
        <v>341.57</v>
      </c>
      <c r="L93" vm="1479">
        <f ca="1"/>
        <v>68.39</v>
      </c>
      <c r="M93" vm="1480">
        <f ca="1"/>
        <v>992.23</v>
      </c>
      <c r="N93" vm="1481">
        <f ca="1"/>
        <v>212.65</v>
      </c>
      <c r="O93" vm="1451">
        <f ca="1"/>
        <v>117.03</v>
      </c>
      <c r="P93" vm="1482">
        <f ca="1"/>
        <v>191.79</v>
      </c>
      <c r="Q93" vm="1291">
        <f ca="1"/>
        <v>87.4</v>
      </c>
      <c r="R93" t="e">
        <f ca="1"/>
        <v>#N/A</v>
      </c>
    </row>
    <row r="94" spans="1:18" ht="20" customHeight="1" x14ac:dyDescent="0.2">
      <c r="A94" vm="1483">
        <f ca="1"/>
        <v>46093</v>
      </c>
      <c r="B94" vm="1484">
        <f ca="1"/>
        <v>303.20999999999998</v>
      </c>
      <c r="C94" vm="1485">
        <f ca="1"/>
        <v>79.86</v>
      </c>
      <c r="D94" vm="1486">
        <f ca="1"/>
        <v>265.38</v>
      </c>
      <c r="E94" vm="1487">
        <f ca="1"/>
        <v>82.16</v>
      </c>
      <c r="F94" vm="1488">
        <f ca="1"/>
        <v>77.61</v>
      </c>
      <c r="G94" vm="1489">
        <f ca="1"/>
        <v>7.67</v>
      </c>
      <c r="H94" vm="1490">
        <f ca="1"/>
        <v>125.33</v>
      </c>
      <c r="I94" vm="1491">
        <f ca="1"/>
        <v>401.86</v>
      </c>
      <c r="J94" vm="1492">
        <f ca="1"/>
        <v>255.76</v>
      </c>
      <c r="K94" vm="1493">
        <f ca="1"/>
        <v>335.97</v>
      </c>
      <c r="L94" vm="1494">
        <f ca="1"/>
        <v>66.92</v>
      </c>
      <c r="M94" vm="1495">
        <f ca="1"/>
        <v>1003.32</v>
      </c>
      <c r="N94" vm="1496">
        <f ca="1"/>
        <v>209.53</v>
      </c>
      <c r="O94" vm="1497">
        <f ca="1"/>
        <v>120.26</v>
      </c>
      <c r="P94" vm="1498">
        <f ca="1"/>
        <v>196.97</v>
      </c>
      <c r="Q94" vm="1499">
        <f ca="1"/>
        <v>88.36</v>
      </c>
      <c r="R94" t="e">
        <f ca="1"/>
        <v>#N/A</v>
      </c>
    </row>
    <row r="95" spans="1:18" ht="20" customHeight="1" x14ac:dyDescent="0.2">
      <c r="A95" vm="1500">
        <f ca="1"/>
        <v>46094</v>
      </c>
      <c r="B95" vm="1501">
        <f ca="1"/>
        <v>301.45999999999998</v>
      </c>
      <c r="C95" vm="1502">
        <f ca="1"/>
        <v>81.11</v>
      </c>
      <c r="D95" vm="1503">
        <f ca="1"/>
        <v>258.88</v>
      </c>
      <c r="E95" vm="1504">
        <f ca="1"/>
        <v>78.19</v>
      </c>
      <c r="F95" vm="1505">
        <f ca="1"/>
        <v>77.34</v>
      </c>
      <c r="G95" vm="1351">
        <f ca="1"/>
        <v>7.54</v>
      </c>
      <c r="H95" vm="1506">
        <f ca="1"/>
        <v>126.52</v>
      </c>
      <c r="I95" vm="1507">
        <f ca="1"/>
        <v>395.55</v>
      </c>
      <c r="J95" vm="1508">
        <f ca="1"/>
        <v>250.12</v>
      </c>
      <c r="K95" vm="927">
        <f ca="1"/>
        <v>322.16000000000003</v>
      </c>
      <c r="L95" vm="1509">
        <f ca="1"/>
        <v>66.19</v>
      </c>
      <c r="M95" vm="1510">
        <f ca="1"/>
        <v>1008.43</v>
      </c>
      <c r="N95" vm="1511">
        <f ca="1"/>
        <v>207.67</v>
      </c>
      <c r="O95" vm="1512">
        <f ca="1"/>
        <v>121.89</v>
      </c>
      <c r="P95" vm="1513">
        <f ca="1"/>
        <v>196.82</v>
      </c>
      <c r="Q95" vm="1514">
        <f ca="1"/>
        <v>89.43</v>
      </c>
      <c r="R95" t="e">
        <f ca="1"/>
        <v>#N/A</v>
      </c>
    </row>
    <row r="96" spans="1:18" ht="20" customHeight="1" x14ac:dyDescent="0.2">
      <c r="A96" vm="1515">
        <f ca="1"/>
        <v>46097</v>
      </c>
      <c r="B96" vm="1516">
        <f ca="1"/>
        <v>304.42</v>
      </c>
      <c r="C96" vm="1517">
        <f ca="1"/>
        <v>85.86</v>
      </c>
      <c r="D96" vm="1518">
        <f ca="1"/>
        <v>264.74</v>
      </c>
      <c r="E96" vm="1519">
        <f ca="1"/>
        <v>80.31</v>
      </c>
      <c r="F96" vm="1520">
        <f ca="1"/>
        <v>77.819999999999993</v>
      </c>
      <c r="G96" vm="1521">
        <f ca="1"/>
        <v>7.71</v>
      </c>
      <c r="H96" vm="1522">
        <f ca="1"/>
        <v>125.99</v>
      </c>
      <c r="I96" vm="1523">
        <f ca="1"/>
        <v>399.95</v>
      </c>
      <c r="J96" vm="1524">
        <f ca="1"/>
        <v>252.82</v>
      </c>
      <c r="K96" vm="1525">
        <f ca="1"/>
        <v>324.92</v>
      </c>
      <c r="L96" vm="1526">
        <f ca="1"/>
        <v>68.28</v>
      </c>
      <c r="M96" vm="1527">
        <f ca="1"/>
        <v>1001.74</v>
      </c>
      <c r="N96" vm="1528">
        <f ca="1"/>
        <v>211.74</v>
      </c>
      <c r="O96" vm="1529">
        <f ca="1"/>
        <v>121.32</v>
      </c>
      <c r="P96" vm="1530">
        <f ca="1"/>
        <v>196.84</v>
      </c>
      <c r="Q96" vm="1531">
        <f ca="1"/>
        <v>90.48</v>
      </c>
      <c r="R96" t="e">
        <f ca="1"/>
        <v>#N/A</v>
      </c>
    </row>
    <row r="97" spans="1:18" ht="20" customHeight="1" x14ac:dyDescent="0.2">
      <c r="A97" vm="1532">
        <f ca="1"/>
        <v>46098</v>
      </c>
      <c r="B97" vm="1533">
        <f ca="1"/>
        <v>309.41000000000003</v>
      </c>
      <c r="C97" vm="1534">
        <f ca="1"/>
        <v>82.12</v>
      </c>
      <c r="D97" vm="1535">
        <f ca="1"/>
        <v>268.41000000000003</v>
      </c>
      <c r="E97" vm="1536">
        <f ca="1"/>
        <v>80.900000000000006</v>
      </c>
      <c r="F97" vm="983">
        <f ca="1"/>
        <v>77.58</v>
      </c>
      <c r="G97" vm="1537">
        <f ca="1"/>
        <v>7.66</v>
      </c>
      <c r="H97" vm="1538">
        <f ca="1"/>
        <v>125.08</v>
      </c>
      <c r="I97" vm="1539">
        <f ca="1"/>
        <v>399.41</v>
      </c>
      <c r="J97" vm="1540">
        <f ca="1"/>
        <v>254.23</v>
      </c>
      <c r="K97" vm="1541">
        <f ca="1"/>
        <v>321.31</v>
      </c>
      <c r="L97" vm="1542">
        <f ca="1"/>
        <v>68.63</v>
      </c>
      <c r="M97" vm="1543">
        <f ca="1"/>
        <v>996.16</v>
      </c>
      <c r="N97" vm="1544">
        <f ca="1"/>
        <v>215.2</v>
      </c>
      <c r="O97" vm="1545">
        <f ca="1"/>
        <v>122.87</v>
      </c>
      <c r="P97" vm="1546">
        <f ca="1"/>
        <v>197.97</v>
      </c>
      <c r="Q97" vm="1547">
        <f ca="1"/>
        <v>91.97</v>
      </c>
      <c r="R97" t="e">
        <f ca="1"/>
        <v>#N/A</v>
      </c>
    </row>
    <row r="98" spans="1:18" ht="20" customHeight="1" x14ac:dyDescent="0.2">
      <c r="A98" vm="1548">
        <f ca="1"/>
        <v>46099</v>
      </c>
      <c r="B98" vm="1549">
        <f ca="1"/>
        <v>306.3</v>
      </c>
      <c r="C98" vm="1550">
        <f ca="1"/>
        <v>82.82</v>
      </c>
      <c r="D98" vm="1551">
        <f ca="1"/>
        <v>264.70999999999998</v>
      </c>
      <c r="E98" vm="1552">
        <f ca="1"/>
        <v>79.94</v>
      </c>
      <c r="F98" vm="1553">
        <f ca="1"/>
        <v>75.97</v>
      </c>
      <c r="G98" vm="389">
        <f ca="1"/>
        <v>7.5</v>
      </c>
      <c r="H98" vm="1554">
        <f ca="1"/>
        <v>121.98</v>
      </c>
      <c r="I98" vm="1555">
        <f ca="1"/>
        <v>391.79</v>
      </c>
      <c r="J98" vm="1556">
        <f ca="1"/>
        <v>249.94</v>
      </c>
      <c r="K98" vm="1557">
        <f ca="1"/>
        <v>315.93</v>
      </c>
      <c r="L98" vm="1558">
        <f ca="1"/>
        <v>68.45</v>
      </c>
      <c r="M98" vm="1559">
        <f ca="1"/>
        <v>979.92</v>
      </c>
      <c r="N98" vm="1560">
        <f ca="1"/>
        <v>209.87</v>
      </c>
      <c r="O98" vm="1561">
        <f ca="1"/>
        <v>123.65</v>
      </c>
      <c r="P98" vm="1562">
        <f ca="1"/>
        <v>198.61</v>
      </c>
      <c r="Q98" vm="1563">
        <f ca="1"/>
        <v>92.75</v>
      </c>
      <c r="R98" t="e">
        <f ca="1"/>
        <v>#N/A</v>
      </c>
    </row>
    <row r="99" spans="1:18" ht="20" customHeight="1" x14ac:dyDescent="0.2">
      <c r="A99" vm="1564">
        <f ca="1"/>
        <v>46100</v>
      </c>
      <c r="B99" vm="1565">
        <f ca="1"/>
        <v>305.73</v>
      </c>
      <c r="C99" vm="1566">
        <f ca="1"/>
        <v>80.66</v>
      </c>
      <c r="D99" vm="1567">
        <f ca="1"/>
        <v>269.17</v>
      </c>
      <c r="E99" vm="1568">
        <f ca="1"/>
        <v>79.459999999999994</v>
      </c>
      <c r="F99" vm="51">
        <f ca="1"/>
        <v>75.55</v>
      </c>
      <c r="G99" vm="423">
        <f ca="1"/>
        <v>7.62</v>
      </c>
      <c r="H99" vm="1569">
        <f ca="1"/>
        <v>121.09</v>
      </c>
      <c r="I99" vm="1570">
        <f ca="1"/>
        <v>389.02</v>
      </c>
      <c r="J99" vm="1571">
        <f ca="1"/>
        <v>248.96</v>
      </c>
      <c r="K99" vm="1572">
        <f ca="1"/>
        <v>319.83999999999997</v>
      </c>
      <c r="L99" vm="1573">
        <f ca="1"/>
        <v>67.69</v>
      </c>
      <c r="M99" vm="1574">
        <f ca="1"/>
        <v>974.78</v>
      </c>
      <c r="N99" vm="1575">
        <f ca="1"/>
        <v>208.76</v>
      </c>
      <c r="O99" vm="1576">
        <f ca="1"/>
        <v>126.02</v>
      </c>
      <c r="P99" vm="1577">
        <f ca="1"/>
        <v>201.44</v>
      </c>
      <c r="Q99" vm="1578">
        <f ca="1"/>
        <v>91.19</v>
      </c>
      <c r="R99" t="e">
        <f ca="1"/>
        <v>#N/A</v>
      </c>
    </row>
    <row r="100" spans="1:18" ht="20" customHeight="1" x14ac:dyDescent="0.2">
      <c r="A100" vm="1579">
        <f ca="1"/>
        <v>46101</v>
      </c>
      <c r="B100" vm="1580">
        <f ca="1"/>
        <v>298.79000000000002</v>
      </c>
      <c r="C100" vm="1581">
        <f ca="1"/>
        <v>81.47</v>
      </c>
      <c r="D100" vm="1582">
        <f ca="1"/>
        <v>255.88</v>
      </c>
      <c r="E100" vm="1583">
        <f ca="1"/>
        <v>76.95</v>
      </c>
      <c r="F100" vm="1219">
        <f ca="1"/>
        <v>74.75</v>
      </c>
      <c r="G100" vm="1584">
        <f ca="1"/>
        <v>7.25</v>
      </c>
      <c r="H100" vm="1585">
        <f ca="1"/>
        <v>119.02</v>
      </c>
      <c r="I100" vm="1586">
        <f ca="1"/>
        <v>381.87</v>
      </c>
      <c r="J100" vm="1587">
        <f ca="1"/>
        <v>247.99</v>
      </c>
      <c r="K100" vm="1126">
        <f ca="1"/>
        <v>310.51</v>
      </c>
      <c r="L100" vm="1588">
        <f ca="1"/>
        <v>65.47</v>
      </c>
      <c r="M100" vm="1589">
        <f ca="1"/>
        <v>972.33</v>
      </c>
      <c r="N100" vm="1590">
        <f ca="1"/>
        <v>205.37</v>
      </c>
      <c r="O100" vm="1591">
        <f ca="1"/>
        <v>126.92</v>
      </c>
      <c r="P100" vm="1592">
        <f ca="1"/>
        <v>201.73</v>
      </c>
      <c r="Q100" vm="1593">
        <f ca="1"/>
        <v>90.44</v>
      </c>
      <c r="R100" t="e">
        <f ca="1"/>
        <v>#N/A</v>
      </c>
    </row>
    <row r="101" spans="1:18" ht="20" customHeight="1" x14ac:dyDescent="0.2">
      <c r="A101" vm="1594">
        <f ca="1"/>
        <v>46104</v>
      </c>
      <c r="B101" vm="1595">
        <f ca="1"/>
        <v>299.02</v>
      </c>
      <c r="C101" vm="1472">
        <f ca="1"/>
        <v>81.96</v>
      </c>
      <c r="D101" vm="1596">
        <f ca="1"/>
        <v>256</v>
      </c>
      <c r="E101" vm="1597">
        <f ca="1"/>
        <v>79.83</v>
      </c>
      <c r="F101" vm="1598">
        <f ca="1"/>
        <v>75.11</v>
      </c>
      <c r="G101" vm="1599">
        <f ca="1"/>
        <v>7.33</v>
      </c>
      <c r="H101" vm="1600">
        <f ca="1"/>
        <v>120.72</v>
      </c>
      <c r="I101" vm="1601">
        <f ca="1"/>
        <v>383</v>
      </c>
      <c r="J101" vm="1602">
        <f ca="1"/>
        <v>251.49</v>
      </c>
      <c r="K101" vm="1603">
        <f ca="1"/>
        <v>322.51</v>
      </c>
      <c r="L101" vm="787">
        <f ca="1"/>
        <v>67.84</v>
      </c>
      <c r="M101" vm="1604">
        <f ca="1"/>
        <v>965.73</v>
      </c>
      <c r="N101" vm="1605">
        <f ca="1"/>
        <v>210.14</v>
      </c>
      <c r="O101" vm="1606">
        <f ca="1"/>
        <v>127.19</v>
      </c>
      <c r="P101" vm="1607">
        <f ca="1"/>
        <v>205.21</v>
      </c>
      <c r="Q101" vm="1608">
        <f ca="1"/>
        <v>90.71</v>
      </c>
      <c r="R101" t="e">
        <f ca="1"/>
        <v>#N/A</v>
      </c>
    </row>
    <row r="102" spans="1:18" ht="20" customHeight="1" x14ac:dyDescent="0.2">
      <c r="A102" vm="1609">
        <f ca="1"/>
        <v>46105</v>
      </c>
      <c r="B102" vm="1610">
        <f ca="1"/>
        <v>289.2</v>
      </c>
      <c r="C102" vm="1611">
        <f ca="1"/>
        <v>83.02</v>
      </c>
      <c r="D102" vm="1612">
        <f ca="1"/>
        <v>270.89</v>
      </c>
      <c r="E102" vm="1613">
        <f ca="1"/>
        <v>79.27</v>
      </c>
      <c r="F102" vm="1614">
        <f ca="1"/>
        <v>74.67</v>
      </c>
      <c r="G102" t="e">
        <f ca="1"/>
        <v>#N/A</v>
      </c>
      <c r="H102" vm="1615">
        <f ca="1"/>
        <v>122.05</v>
      </c>
      <c r="I102" vm="1616">
        <f ca="1"/>
        <v>372.74</v>
      </c>
      <c r="J102" vm="1617">
        <f ca="1"/>
        <v>251.64</v>
      </c>
      <c r="K102" vm="1618">
        <f ca="1"/>
        <v>318.29000000000002</v>
      </c>
      <c r="L102" vm="1619">
        <f ca="1"/>
        <v>66.12</v>
      </c>
      <c r="M102" vm="1620">
        <f ca="1"/>
        <v>973.82</v>
      </c>
      <c r="N102" vm="1621">
        <f ca="1"/>
        <v>207.24</v>
      </c>
      <c r="O102" vm="1622">
        <f ca="1"/>
        <v>129.35</v>
      </c>
      <c r="P102" vm="1623">
        <f ca="1"/>
        <v>206.79</v>
      </c>
      <c r="Q102" vm="1624">
        <f ca="1"/>
        <v>91.12</v>
      </c>
      <c r="R102" t="e">
        <f ca="1"/>
        <v>#N/A</v>
      </c>
    </row>
    <row r="103" spans="1:18" ht="20" customHeight="1" x14ac:dyDescent="0.2">
      <c r="A103" vm="1625">
        <f ca="1"/>
        <v>46106</v>
      </c>
      <c r="B103" vm="1626">
        <f ca="1"/>
        <v>289.58999999999997</v>
      </c>
      <c r="C103" vm="1627">
        <f ca="1"/>
        <v>87.58</v>
      </c>
      <c r="D103" vm="1628">
        <f ca="1"/>
        <v>276.16000000000003</v>
      </c>
      <c r="E103" vm="1629">
        <f ca="1"/>
        <v>81.22</v>
      </c>
      <c r="F103" vm="1630">
        <f ca="1"/>
        <v>75.25</v>
      </c>
      <c r="G103" vm="1631">
        <f ca="1"/>
        <v>7.45</v>
      </c>
      <c r="H103" vm="1632">
        <f ca="1"/>
        <v>123.06</v>
      </c>
      <c r="I103" vm="1633">
        <f ca="1"/>
        <v>371.04</v>
      </c>
      <c r="J103" vm="1634">
        <f ca="1"/>
        <v>252.62</v>
      </c>
      <c r="K103" vm="1635">
        <f ca="1"/>
        <v>318.81</v>
      </c>
      <c r="L103" vm="1636">
        <f ca="1"/>
        <v>68.680000000000007</v>
      </c>
      <c r="M103" vm="1637">
        <f ca="1"/>
        <v>974.86</v>
      </c>
      <c r="N103" vm="1638">
        <f ca="1"/>
        <v>211.71</v>
      </c>
      <c r="O103" vm="1639">
        <f ca="1"/>
        <v>128.93</v>
      </c>
      <c r="P103" vm="1640">
        <f ca="1"/>
        <v>205.15</v>
      </c>
      <c r="Q103" vm="1641">
        <f ca="1"/>
        <v>91.88</v>
      </c>
      <c r="R103" t="e">
        <f ca="1"/>
        <v>#N/A</v>
      </c>
    </row>
    <row r="104" spans="1:18" ht="20" customHeight="1" x14ac:dyDescent="0.2">
      <c r="A104" vm="1642">
        <f ca="1"/>
        <v>46107</v>
      </c>
      <c r="B104" vm="1643">
        <f ca="1"/>
        <v>280.74</v>
      </c>
      <c r="C104" vm="753">
        <f ca="1"/>
        <v>80.45</v>
      </c>
      <c r="D104" vm="1644">
        <f ca="1"/>
        <v>252.4</v>
      </c>
      <c r="E104" vm="1645">
        <f ca="1"/>
        <v>79.63</v>
      </c>
      <c r="F104" vm="1646">
        <f ca="1"/>
        <v>74.69</v>
      </c>
      <c r="G104" vm="1647">
        <f ca="1"/>
        <v>7.23</v>
      </c>
      <c r="H104" vm="1648">
        <f ca="1"/>
        <v>122.18</v>
      </c>
      <c r="I104" vm="1649">
        <f ca="1"/>
        <v>365.97</v>
      </c>
      <c r="J104" vm="1650">
        <f ca="1"/>
        <v>252.89</v>
      </c>
      <c r="K104" vm="1651">
        <f ca="1"/>
        <v>309.41500000000002</v>
      </c>
      <c r="L104" vm="1652">
        <f ca="1"/>
        <v>66.2</v>
      </c>
      <c r="M104" vm="1653">
        <f ca="1"/>
        <v>979.65</v>
      </c>
      <c r="N104" vm="1654">
        <f ca="1"/>
        <v>207.54</v>
      </c>
      <c r="O104" vm="1655">
        <f ca="1"/>
        <v>133.25</v>
      </c>
      <c r="P104" vm="1656">
        <f ca="1"/>
        <v>207.79</v>
      </c>
      <c r="Q104" vm="1657">
        <f ca="1"/>
        <v>92.16</v>
      </c>
      <c r="R104" t="e">
        <f ca="1"/>
        <v>#N/A</v>
      </c>
    </row>
    <row r="105" spans="1:18" ht="20" customHeight="1" x14ac:dyDescent="0.2">
      <c r="A105" vm="1658">
        <f ca="1"/>
        <v>46108</v>
      </c>
      <c r="B105" vm="712">
        <f ca="1"/>
        <v>273.76</v>
      </c>
      <c r="C105" vm="1057">
        <f ca="1"/>
        <v>74.81</v>
      </c>
      <c r="D105" vm="1659">
        <f ca="1"/>
        <v>251.07</v>
      </c>
      <c r="E105" vm="1660">
        <f ca="1"/>
        <v>79.19</v>
      </c>
      <c r="F105" vm="1661">
        <f ca="1"/>
        <v>75.709999999999994</v>
      </c>
      <c r="G105" vm="1662">
        <f ca="1"/>
        <v>7</v>
      </c>
      <c r="H105" vm="1663">
        <f ca="1"/>
        <v>122.89</v>
      </c>
      <c r="I105" vm="1664">
        <f ca="1"/>
        <v>356.77</v>
      </c>
      <c r="J105" vm="1665">
        <f ca="1"/>
        <v>248.8</v>
      </c>
      <c r="K105" vm="1666">
        <f ca="1"/>
        <v>300.68</v>
      </c>
      <c r="L105" vm="1667">
        <f ca="1"/>
        <v>64.2</v>
      </c>
      <c r="M105" vm="1668">
        <f ca="1"/>
        <v>983.86</v>
      </c>
      <c r="N105" vm="1669">
        <f ca="1"/>
        <v>199.34</v>
      </c>
      <c r="O105" vm="1670">
        <f ca="1"/>
        <v>133.80000000000001</v>
      </c>
      <c r="P105" vm="1671">
        <f ca="1"/>
        <v>211.15</v>
      </c>
      <c r="Q105" vm="1672">
        <f ca="1"/>
        <v>92.17</v>
      </c>
      <c r="R105" t="e">
        <f ca="1"/>
        <v>#N/A</v>
      </c>
    </row>
    <row r="106" spans="1:18" ht="20" customHeight="1" x14ac:dyDescent="0.2">
      <c r="A106" vm="1673">
        <f ca="1"/>
        <v>46111</v>
      </c>
      <c r="B106" vm="1674">
        <f ca="1"/>
        <v>273.14</v>
      </c>
      <c r="C106" vm="1403">
        <f ca="1"/>
        <v>69.150000000000006</v>
      </c>
      <c r="D106" vm="1675">
        <f ca="1"/>
        <v>234.22</v>
      </c>
      <c r="E106" vm="1676">
        <f ca="1"/>
        <v>79.349999999999994</v>
      </c>
      <c r="F106" vm="1677">
        <f ca="1"/>
        <v>76.27</v>
      </c>
      <c r="G106" vm="1678">
        <f ca="1"/>
        <v>6.9</v>
      </c>
      <c r="H106" vm="1679">
        <f ca="1"/>
        <v>123.5</v>
      </c>
      <c r="I106" vm="1680">
        <f ca="1"/>
        <v>358.96</v>
      </c>
      <c r="J106" vm="1681">
        <f ca="1"/>
        <v>246.63</v>
      </c>
      <c r="K106" vm="1682">
        <f ca="1"/>
        <v>293.41000000000003</v>
      </c>
      <c r="L106" vm="1683">
        <f ca="1"/>
        <v>63.69</v>
      </c>
      <c r="M106" vm="1684">
        <f ca="1"/>
        <v>996.58</v>
      </c>
      <c r="N106" vm="1685">
        <f ca="1"/>
        <v>200.95</v>
      </c>
      <c r="O106" vm="1686">
        <f ca="1"/>
        <v>132.88999999999999</v>
      </c>
      <c r="P106" vm="1687">
        <f ca="1"/>
        <v>210.71</v>
      </c>
      <c r="Q106" vm="1688">
        <f ca="1"/>
        <v>92.74</v>
      </c>
      <c r="R106" t="e">
        <f ca="1"/>
        <v>#N/A</v>
      </c>
    </row>
    <row r="107" spans="1:18" ht="20" customHeight="1" x14ac:dyDescent="0.2">
      <c r="A107" vm="1689">
        <f ca="1"/>
        <v>46112</v>
      </c>
      <c r="B107" vm="1690">
        <f ca="1"/>
        <v>286.86</v>
      </c>
      <c r="C107" vm="1051">
        <f ca="1"/>
        <v>77.47</v>
      </c>
      <c r="D107" vm="1691">
        <f ca="1"/>
        <v>250.58</v>
      </c>
      <c r="E107" vm="1692">
        <f ca="1"/>
        <v>82.49</v>
      </c>
      <c r="F107" vm="1693">
        <f ca="1"/>
        <v>76.05</v>
      </c>
      <c r="G107" vm="1694">
        <f ca="1"/>
        <v>7.36</v>
      </c>
      <c r="H107" vm="1695">
        <f ca="1"/>
        <v>124.28</v>
      </c>
      <c r="I107" vm="1696">
        <f ca="1"/>
        <v>370.17</v>
      </c>
      <c r="J107" vm="1697">
        <f ca="1"/>
        <v>253.79</v>
      </c>
      <c r="K107" vm="1698">
        <f ca="1"/>
        <v>309.51</v>
      </c>
      <c r="L107" vm="1699">
        <f ca="1"/>
        <v>67.069999999999993</v>
      </c>
      <c r="M107" vm="1700">
        <f ca="1"/>
        <v>996.43</v>
      </c>
      <c r="N107" vm="1701">
        <f ca="1"/>
        <v>208.27</v>
      </c>
      <c r="O107" vm="1702">
        <f ca="1"/>
        <v>132</v>
      </c>
      <c r="P107" vm="1703">
        <f ca="1"/>
        <v>206.9</v>
      </c>
      <c r="Q107" vm="1704">
        <f ca="1"/>
        <v>93</v>
      </c>
      <c r="R107" t="e">
        <f ca="1"/>
        <v>#N/A</v>
      </c>
    </row>
    <row r="108" spans="1:18" ht="20" customHeight="1" x14ac:dyDescent="0.2">
      <c r="A108" vm="1705">
        <f ca="1"/>
        <v>46113</v>
      </c>
      <c r="B108" vm="1706">
        <f ca="1"/>
        <v>294.89999999999998</v>
      </c>
      <c r="C108" vm="1707">
        <f ca="1"/>
        <v>78.44</v>
      </c>
      <c r="D108" vm="837">
        <f ca="1"/>
        <v>259.37</v>
      </c>
      <c r="E108" vm="1708">
        <f ca="1"/>
        <v>85.46</v>
      </c>
      <c r="F108" vm="1709">
        <f ca="1"/>
        <v>76.08</v>
      </c>
      <c r="G108" vm="1710">
        <f ca="1"/>
        <v>7.38</v>
      </c>
      <c r="H108" vm="1711">
        <f ca="1"/>
        <v>124.74</v>
      </c>
      <c r="I108" vm="1712">
        <f ca="1"/>
        <v>369.37</v>
      </c>
      <c r="J108" vm="1713">
        <f ca="1"/>
        <v>255.63</v>
      </c>
      <c r="K108" vm="1714">
        <f ca="1"/>
        <v>313.49</v>
      </c>
      <c r="L108" vm="1715">
        <f ca="1"/>
        <v>67.91</v>
      </c>
      <c r="M108" vm="1716">
        <f ca="1"/>
        <v>996.56</v>
      </c>
      <c r="N108" vm="1717">
        <f ca="1"/>
        <v>210.57</v>
      </c>
      <c r="O108" vm="1718">
        <f ca="1"/>
        <v>128.38</v>
      </c>
      <c r="P108" vm="1719">
        <f ca="1"/>
        <v>197.41</v>
      </c>
      <c r="Q108" vm="1720">
        <f ca="1"/>
        <v>92.03</v>
      </c>
      <c r="R108" t="e">
        <f ca="1"/>
        <v>#N/A</v>
      </c>
    </row>
    <row r="109" spans="1:18" ht="20" customHeight="1" x14ac:dyDescent="0.2">
      <c r="A109" vm="1721">
        <f ca="1"/>
        <v>46114</v>
      </c>
      <c r="B109" vm="1722">
        <f ca="1"/>
        <v>294.45999999999998</v>
      </c>
      <c r="C109" vm="1723">
        <f ca="1"/>
        <v>82.24</v>
      </c>
      <c r="D109" vm="1724">
        <f ca="1"/>
        <v>261.29000000000002</v>
      </c>
      <c r="E109" vm="1725">
        <f ca="1"/>
        <v>84.41</v>
      </c>
      <c r="F109" vm="1726">
        <f ca="1"/>
        <v>76.72</v>
      </c>
      <c r="G109" t="e">
        <f ca="1"/>
        <v>#N/A</v>
      </c>
      <c r="H109" vm="1727">
        <f ca="1"/>
        <v>125.79</v>
      </c>
      <c r="I109" vm="1728">
        <f ca="1"/>
        <v>373.46</v>
      </c>
      <c r="J109" vm="1729">
        <f ca="1"/>
        <v>255.92</v>
      </c>
      <c r="K109" vm="720">
        <f ca="1"/>
        <v>314.55</v>
      </c>
      <c r="L109" vm="1730">
        <f ca="1"/>
        <v>67.739999999999995</v>
      </c>
      <c r="M109" vm="1731">
        <f ca="1"/>
        <v>1014.96</v>
      </c>
      <c r="N109" vm="1732">
        <f ca="1"/>
        <v>209.77</v>
      </c>
      <c r="O109" vm="1733">
        <f ca="1"/>
        <v>130.52000000000001</v>
      </c>
      <c r="P109" vm="1734">
        <f ca="1"/>
        <v>198.97</v>
      </c>
      <c r="Q109" vm="1735">
        <f ca="1"/>
        <v>93.1</v>
      </c>
      <c r="R109" t="e">
        <f ca="1"/>
        <v>#N/A</v>
      </c>
    </row>
    <row r="110" spans="1:18" ht="20" customHeight="1" x14ac:dyDescent="0.2">
      <c r="A110" vm="1736">
        <f ca="1"/>
        <v>46118</v>
      </c>
      <c r="B110" vm="1737">
        <f ca="1"/>
        <v>297.66000000000003</v>
      </c>
      <c r="C110" vm="1738">
        <f ca="1"/>
        <v>80.94</v>
      </c>
      <c r="D110" vm="1739">
        <f ca="1"/>
        <v>258.73</v>
      </c>
      <c r="E110" vm="1740">
        <f ca="1"/>
        <v>84.64</v>
      </c>
      <c r="F110" vm="1741">
        <f ca="1"/>
        <v>77.22</v>
      </c>
      <c r="G110" vm="1443">
        <f ca="1"/>
        <v>7.6</v>
      </c>
      <c r="H110" vm="1742">
        <f ca="1"/>
        <v>126.79</v>
      </c>
      <c r="I110" vm="1743">
        <f ca="1"/>
        <v>372.88</v>
      </c>
      <c r="J110" vm="1744">
        <f ca="1"/>
        <v>258.86</v>
      </c>
      <c r="K110" vm="1745">
        <f ca="1"/>
        <v>314.43</v>
      </c>
      <c r="L110" vm="1746">
        <f ca="1"/>
        <v>68.62</v>
      </c>
      <c r="M110" vm="1747">
        <f ca="1"/>
        <v>1018.55</v>
      </c>
      <c r="N110" vm="1748">
        <f ca="1"/>
        <v>212.79</v>
      </c>
      <c r="O110" vm="1749">
        <f ca="1"/>
        <v>131.63999999999999</v>
      </c>
      <c r="P110" vm="1750">
        <f ca="1"/>
        <v>198.86</v>
      </c>
      <c r="Q110" vm="1751">
        <f ca="1"/>
        <v>93.64</v>
      </c>
      <c r="R110" t="e">
        <f ca="1"/>
        <v>#N/A</v>
      </c>
    </row>
    <row r="111" spans="1:18" ht="20" customHeight="1" x14ac:dyDescent="0.2">
      <c r="A111" vm="1752">
        <f ca="1"/>
        <v>46119</v>
      </c>
      <c r="B111" vm="1753">
        <f ca="1"/>
        <v>303.93</v>
      </c>
      <c r="C111" vm="1754">
        <f ca="1"/>
        <v>85.24</v>
      </c>
      <c r="D111" vm="1755">
        <f ca="1"/>
        <v>262.3</v>
      </c>
      <c r="E111" vm="1213">
        <f ca="1"/>
        <v>85.15</v>
      </c>
      <c r="F111" vm="1756">
        <f ca="1"/>
        <v>75.91</v>
      </c>
      <c r="G111" vm="1757">
        <f ca="1"/>
        <v>7.39</v>
      </c>
      <c r="H111" vm="1758">
        <f ca="1"/>
        <v>122.49</v>
      </c>
      <c r="I111" vm="1759">
        <f ca="1"/>
        <v>372.29</v>
      </c>
      <c r="J111" vm="1760">
        <f ca="1"/>
        <v>253.5</v>
      </c>
      <c r="K111" vm="1761">
        <f ca="1"/>
        <v>333.97</v>
      </c>
      <c r="L111" vm="1762">
        <f ca="1"/>
        <v>68.11</v>
      </c>
      <c r="M111" vm="1763">
        <f ca="1"/>
        <v>1013.21</v>
      </c>
      <c r="N111" vm="1764">
        <f ca="1"/>
        <v>213.77</v>
      </c>
      <c r="O111" vm="1765">
        <f ca="1"/>
        <v>131.77000000000001</v>
      </c>
      <c r="P111" vm="1766">
        <f ca="1"/>
        <v>201.54</v>
      </c>
      <c r="Q111" vm="1767">
        <f ca="1"/>
        <v>94.15</v>
      </c>
      <c r="R111" t="e">
        <f ca="1"/>
        <v>#N/A</v>
      </c>
    </row>
    <row r="112" spans="1:18" ht="20" customHeight="1" x14ac:dyDescent="0.2">
      <c r="A112" vm="1768">
        <f ca="1"/>
        <v>46120</v>
      </c>
      <c r="B112" vm="1769">
        <f ca="1"/>
        <v>314.74</v>
      </c>
      <c r="C112" vm="1770">
        <f ca="1"/>
        <v>88.9</v>
      </c>
      <c r="D112" vm="1771">
        <f ca="1"/>
        <v>281.02999999999997</v>
      </c>
      <c r="E112" vm="1772">
        <f ca="1"/>
        <v>90.27</v>
      </c>
      <c r="F112" vm="1773">
        <f ca="1"/>
        <v>77.290000000000006</v>
      </c>
      <c r="G112" vm="1774">
        <f ca="1"/>
        <v>7.84</v>
      </c>
      <c r="H112" vm="1775">
        <f ca="1"/>
        <v>127.26</v>
      </c>
      <c r="I112" vm="1776">
        <f ca="1"/>
        <v>374.33</v>
      </c>
      <c r="J112" vm="1777">
        <f ca="1"/>
        <v>258.89999999999998</v>
      </c>
      <c r="K112" vm="1778">
        <f ca="1"/>
        <v>350.63</v>
      </c>
      <c r="L112" vm="1779">
        <f ca="1"/>
        <v>72.31</v>
      </c>
      <c r="M112" vm="1780">
        <f ca="1"/>
        <v>1030.27</v>
      </c>
      <c r="N112" vm="1781">
        <f ca="1"/>
        <v>221.25</v>
      </c>
      <c r="O112" vm="1782">
        <f ca="1"/>
        <v>125.22</v>
      </c>
      <c r="P112" vm="1783">
        <f ca="1"/>
        <v>192.89</v>
      </c>
      <c r="Q112" vm="1784">
        <f ca="1"/>
        <v>92.01</v>
      </c>
      <c r="R112" t="e">
        <f ca="1"/>
        <v>#N/A</v>
      </c>
    </row>
    <row r="113" spans="1:18" ht="20" customHeight="1" x14ac:dyDescent="0.2">
      <c r="A113" vm="1785">
        <f ca="1"/>
        <v>46121</v>
      </c>
      <c r="B113" vm="1786">
        <f ca="1"/>
        <v>316.37</v>
      </c>
      <c r="C113" vm="1787">
        <f ca="1"/>
        <v>92</v>
      </c>
      <c r="D113" vm="1788">
        <f ca="1"/>
        <v>287.64</v>
      </c>
      <c r="E113" vm="1772">
        <f ca="1"/>
        <v>90.27</v>
      </c>
      <c r="F113" vm="1789">
        <f ca="1"/>
        <v>78.180000000000007</v>
      </c>
      <c r="G113" vm="1521">
        <f ca="1"/>
        <v>7.71</v>
      </c>
      <c r="H113" vm="1790">
        <f ca="1"/>
        <v>129.13</v>
      </c>
      <c r="I113" vm="1791">
        <f ca="1"/>
        <v>373.07</v>
      </c>
      <c r="J113" vm="1792">
        <f ca="1"/>
        <v>260.49</v>
      </c>
      <c r="K113" vm="1793">
        <f ca="1"/>
        <v>354.91</v>
      </c>
      <c r="L113" vm="1794">
        <f ca="1"/>
        <v>71.930000000000007</v>
      </c>
      <c r="M113" vm="1795">
        <f ca="1"/>
        <v>1032.03</v>
      </c>
      <c r="N113" vm="1796">
        <f ca="1"/>
        <v>233.65</v>
      </c>
      <c r="O113" vm="1797">
        <f ca="1"/>
        <v>123.47</v>
      </c>
      <c r="P113" vm="1798">
        <f ca="1"/>
        <v>190.36</v>
      </c>
      <c r="Q113" vm="1799">
        <f ca="1"/>
        <v>91.09</v>
      </c>
      <c r="R113" t="e">
        <f ca="1"/>
        <v>#N/A</v>
      </c>
    </row>
    <row r="114" spans="1:18" ht="20" customHeight="1" x14ac:dyDescent="0.2">
      <c r="A114" vm="1800">
        <f ca="1"/>
        <v>46122</v>
      </c>
      <c r="B114" vm="1801">
        <f ca="1"/>
        <v>315.72000000000003</v>
      </c>
      <c r="C114" vm="1802">
        <f ca="1"/>
        <v>102</v>
      </c>
      <c r="D114" vm="1803">
        <f ca="1"/>
        <v>295.11</v>
      </c>
      <c r="E114" vm="414">
        <f ca="1"/>
        <v>90.26</v>
      </c>
      <c r="F114" vm="1051">
        <f ca="1"/>
        <v>77.47</v>
      </c>
      <c r="G114" vm="258">
        <f ca="1"/>
        <v>7.9</v>
      </c>
      <c r="H114" vm="1804">
        <f ca="1"/>
        <v>126.77</v>
      </c>
      <c r="I114" vm="1805">
        <f ca="1"/>
        <v>370.87</v>
      </c>
      <c r="J114" vm="1806">
        <f ca="1"/>
        <v>260.48</v>
      </c>
      <c r="K114" vm="1807">
        <f ca="1"/>
        <v>371.55</v>
      </c>
      <c r="L114" vm="306">
        <f ca="1"/>
        <v>71.209999999999994</v>
      </c>
      <c r="M114" vm="1808">
        <f ca="1"/>
        <v>998.47</v>
      </c>
      <c r="N114" vm="1809">
        <f ca="1"/>
        <v>238.38</v>
      </c>
      <c r="O114" vm="1810">
        <f ca="1"/>
        <v>122.55</v>
      </c>
      <c r="P114" vm="1811">
        <f ca="1"/>
        <v>188.55</v>
      </c>
      <c r="Q114" vm="1812">
        <f ca="1"/>
        <v>92.21</v>
      </c>
      <c r="R114" t="e">
        <f ca="1"/>
        <v>#N/A</v>
      </c>
    </row>
    <row r="115" spans="1:18" ht="20" customHeight="1" x14ac:dyDescent="0.2">
      <c r="A115" vm="1813">
        <f ca="1"/>
        <v>46125</v>
      </c>
      <c r="B115" vm="1814">
        <f ca="1"/>
        <v>319.20999999999998</v>
      </c>
      <c r="C115" vm="1815">
        <f ca="1"/>
        <v>110.27</v>
      </c>
      <c r="D115" vm="1816">
        <f ca="1"/>
        <v>299.95999999999998</v>
      </c>
      <c r="E115" vm="1817">
        <f ca="1"/>
        <v>90.98</v>
      </c>
      <c r="F115" vm="217">
        <f ca="1"/>
        <v>76.41</v>
      </c>
      <c r="G115" vm="1818">
        <f ca="1"/>
        <v>8.0500000000000007</v>
      </c>
      <c r="H115" vm="1819">
        <f ca="1"/>
        <v>124.57</v>
      </c>
      <c r="I115" vm="1820">
        <f ca="1"/>
        <v>384.37</v>
      </c>
      <c r="J115" vm="1821">
        <f ca="1"/>
        <v>259.2</v>
      </c>
      <c r="K115" vm="1822">
        <f ca="1"/>
        <v>379.75</v>
      </c>
      <c r="L115" vm="1823">
        <f ca="1"/>
        <v>74.55</v>
      </c>
      <c r="M115" vm="1824">
        <f ca="1"/>
        <v>980.85</v>
      </c>
      <c r="N115" vm="1825">
        <f ca="1"/>
        <v>239.89</v>
      </c>
      <c r="O115" vm="1826">
        <f ca="1"/>
        <v>123.62</v>
      </c>
      <c r="P115" vm="1827">
        <f ca="1"/>
        <v>191.78</v>
      </c>
      <c r="Q115" vm="1828">
        <f ca="1"/>
        <v>92.6</v>
      </c>
      <c r="R115" t="e">
        <f ca="1"/>
        <v>#N/A</v>
      </c>
    </row>
    <row r="116" spans="1:18" ht="20" customHeight="1" x14ac:dyDescent="0.2">
      <c r="A116" vm="1829">
        <f ca="1"/>
        <v>46126</v>
      </c>
      <c r="B116" vm="1830">
        <f ca="1"/>
        <v>330.58</v>
      </c>
      <c r="C116" vm="1831">
        <f ca="1"/>
        <v>117.2</v>
      </c>
      <c r="D116" vm="1126">
        <f ca="1"/>
        <v>310.51</v>
      </c>
      <c r="E116" vm="249">
        <f ca="1"/>
        <v>91.37</v>
      </c>
      <c r="F116" vm="1832">
        <f ca="1"/>
        <v>75.900000000000006</v>
      </c>
      <c r="G116" vm="755">
        <f ca="1"/>
        <v>8.1</v>
      </c>
      <c r="H116" vm="1833">
        <f ca="1"/>
        <v>125.05</v>
      </c>
      <c r="I116" vm="1834">
        <f ca="1"/>
        <v>393.11</v>
      </c>
      <c r="J116" vm="1835">
        <f ca="1"/>
        <v>258.83</v>
      </c>
      <c r="K116" vm="1836">
        <f ca="1"/>
        <v>380.78</v>
      </c>
      <c r="L116" vm="1837">
        <f ca="1"/>
        <v>77.099999999999994</v>
      </c>
      <c r="M116" vm="1838">
        <f ca="1"/>
        <v>974.8</v>
      </c>
      <c r="N116" vm="1839">
        <f ca="1"/>
        <v>249.02</v>
      </c>
      <c r="O116" vm="1840">
        <f ca="1"/>
        <v>118.79</v>
      </c>
      <c r="P116" vm="1841">
        <f ca="1"/>
        <v>187.02</v>
      </c>
      <c r="Q116" vm="1842">
        <f ca="1"/>
        <v>91.36</v>
      </c>
      <c r="R116" t="e">
        <f ca="1"/>
        <v>#N/A</v>
      </c>
    </row>
    <row r="117" spans="1:18" ht="20" customHeight="1" x14ac:dyDescent="0.2">
      <c r="A117" vm="1843">
        <f ca="1"/>
        <v>46127</v>
      </c>
      <c r="B117" vm="1844">
        <f ca="1"/>
        <v>334.47</v>
      </c>
      <c r="C117" vm="1845">
        <f ca="1"/>
        <v>118.69</v>
      </c>
      <c r="D117" vm="1846">
        <f ca="1"/>
        <v>301.16000000000003</v>
      </c>
      <c r="E117" vm="1847">
        <f ca="1"/>
        <v>90.93</v>
      </c>
      <c r="F117" vm="284">
        <f ca="1"/>
        <v>75.31</v>
      </c>
      <c r="G117" vm="1041">
        <f ca="1"/>
        <v>8.2899999999999991</v>
      </c>
      <c r="H117" vm="1848">
        <f ca="1"/>
        <v>124.76</v>
      </c>
      <c r="I117" vm="1849">
        <f ca="1"/>
        <v>411.22</v>
      </c>
      <c r="J117" vm="1850">
        <f ca="1"/>
        <v>266.43</v>
      </c>
      <c r="K117" vm="1851">
        <f ca="1"/>
        <v>396.72</v>
      </c>
      <c r="L117" vm="1852">
        <f ca="1"/>
        <v>79.69</v>
      </c>
      <c r="M117" vm="1853">
        <f ca="1"/>
        <v>984.75</v>
      </c>
      <c r="N117" vm="1854">
        <f ca="1"/>
        <v>248.5</v>
      </c>
      <c r="O117" vm="1855">
        <f ca="1"/>
        <v>118.92</v>
      </c>
      <c r="P117" vm="1299">
        <f ca="1"/>
        <v>184.91</v>
      </c>
      <c r="Q117" vm="1856">
        <f ca="1"/>
        <v>89.84</v>
      </c>
      <c r="R117" t="e">
        <f ca="1"/>
        <v>#N/A</v>
      </c>
    </row>
    <row r="118" spans="1:18" ht="20" customHeight="1" x14ac:dyDescent="0.2">
      <c r="A118" vm="1857">
        <f ca="1"/>
        <v>46128</v>
      </c>
      <c r="B118" vm="1417">
        <f ca="1"/>
        <v>332.77</v>
      </c>
      <c r="C118" vm="1858">
        <f ca="1"/>
        <v>119.56</v>
      </c>
      <c r="D118" vm="1859">
        <f ca="1"/>
        <v>294.13</v>
      </c>
      <c r="E118" vm="1860">
        <f ca="1"/>
        <v>90.52</v>
      </c>
      <c r="F118" vm="1861">
        <f ca="1"/>
        <v>75.180000000000007</v>
      </c>
      <c r="G118" vm="1862">
        <f ca="1"/>
        <v>8.32</v>
      </c>
      <c r="H118" vm="1863">
        <f ca="1"/>
        <v>124.82</v>
      </c>
      <c r="I118" vm="1864">
        <f ca="1"/>
        <v>420.26</v>
      </c>
      <c r="J118" vm="1865">
        <f ca="1"/>
        <v>263.39999999999998</v>
      </c>
      <c r="K118" vm="1866">
        <f ca="1"/>
        <v>398.47</v>
      </c>
      <c r="L118" vm="1867">
        <f ca="1"/>
        <v>79.375</v>
      </c>
      <c r="M118" vm="1868">
        <f ca="1"/>
        <v>987.21</v>
      </c>
      <c r="N118" vm="1869">
        <f ca="1"/>
        <v>249.7</v>
      </c>
      <c r="O118" vm="1870">
        <f ca="1"/>
        <v>121.57</v>
      </c>
      <c r="P118" vm="1871">
        <f ca="1"/>
        <v>188.15</v>
      </c>
      <c r="Q118" vm="1872">
        <f ca="1"/>
        <v>91.5</v>
      </c>
      <c r="R118" t="e">
        <f ca="1"/>
        <v>#N/A</v>
      </c>
    </row>
    <row r="119" spans="1:18" ht="20" customHeight="1" x14ac:dyDescent="0.2">
      <c r="A119" vm="1873">
        <f ca="1"/>
        <v>46129</v>
      </c>
      <c r="B119" vm="1874">
        <f ca="1"/>
        <v>339.4</v>
      </c>
      <c r="C119" vm="1875">
        <f ca="1"/>
        <v>116.85</v>
      </c>
      <c r="D119" vm="1876">
        <f ca="1"/>
        <v>307.33999999999997</v>
      </c>
      <c r="E119" vm="1657">
        <f ca="1"/>
        <v>92.16</v>
      </c>
      <c r="F119" vm="1877">
        <f ca="1"/>
        <v>75.739999999999995</v>
      </c>
      <c r="G119" vm="1878">
        <f ca="1"/>
        <v>8.48</v>
      </c>
      <c r="H119" vm="1879">
        <f ca="1"/>
        <v>127.5</v>
      </c>
      <c r="I119" vm="1880">
        <f ca="1"/>
        <v>422.79</v>
      </c>
      <c r="J119" vm="1881">
        <f ca="1"/>
        <v>270.23</v>
      </c>
      <c r="K119" vm="1882">
        <f ca="1"/>
        <v>406.54</v>
      </c>
      <c r="L119" vm="1883">
        <f ca="1"/>
        <v>81.709999999999994</v>
      </c>
      <c r="M119" vm="1884">
        <f ca="1"/>
        <v>999.89</v>
      </c>
      <c r="N119" vm="1885">
        <f ca="1"/>
        <v>250.56</v>
      </c>
      <c r="O119" vm="1886">
        <f ca="1"/>
        <v>116.04</v>
      </c>
      <c r="P119" vm="1887">
        <f ca="1"/>
        <v>183.99</v>
      </c>
      <c r="Q119" vm="1888">
        <f ca="1"/>
        <v>87.81</v>
      </c>
      <c r="R119" t="e">
        <f ca="1"/>
        <v>#N/A</v>
      </c>
    </row>
    <row r="120" spans="1:18" ht="20" customHeight="1" x14ac:dyDescent="0.2">
      <c r="A120" vm="1889">
        <f ca="1"/>
        <v>46132</v>
      </c>
      <c r="B120" vm="1890">
        <f ca="1"/>
        <v>335.4</v>
      </c>
      <c r="C120" vm="1891">
        <f ca="1"/>
        <v>117.43</v>
      </c>
      <c r="D120" vm="1892">
        <f ca="1"/>
        <v>314.41000000000003</v>
      </c>
      <c r="E120" vm="1893">
        <f ca="1"/>
        <v>91.59</v>
      </c>
      <c r="F120" vm="1015">
        <f ca="1"/>
        <v>75.48</v>
      </c>
      <c r="G120" vm="1894">
        <f ca="1"/>
        <v>8.41</v>
      </c>
      <c r="H120" vm="1895">
        <f ca="1"/>
        <v>127.92</v>
      </c>
      <c r="I120" vm="1896">
        <f ca="1"/>
        <v>418.07</v>
      </c>
      <c r="J120" vm="1897">
        <f ca="1"/>
        <v>273.05</v>
      </c>
      <c r="K120" vm="1898">
        <f ca="1"/>
        <v>399.63</v>
      </c>
      <c r="L120" vm="1899">
        <f ca="1"/>
        <v>81.25</v>
      </c>
      <c r="M120" vm="1900">
        <f ca="1"/>
        <v>997.84</v>
      </c>
      <c r="N120" vm="1901">
        <f ca="1"/>
        <v>248.28</v>
      </c>
      <c r="O120" vm="1902">
        <f ca="1"/>
        <v>116.45</v>
      </c>
      <c r="P120" vm="1903">
        <f ca="1"/>
        <v>183.25</v>
      </c>
      <c r="Q120" vm="1904">
        <f ca="1"/>
        <v>88</v>
      </c>
      <c r="R120" t="e">
        <f ca="1"/>
        <v>#N/A</v>
      </c>
    </row>
    <row r="121" spans="1:18" ht="20" customHeight="1" x14ac:dyDescent="0.2">
      <c r="A121" vm="1905">
        <f ca="1"/>
        <v>46133</v>
      </c>
      <c r="B121" vm="1906">
        <f ca="1"/>
        <v>330.47</v>
      </c>
      <c r="C121" vm="1907">
        <f ca="1"/>
        <v>115.16</v>
      </c>
      <c r="D121" vm="1908">
        <f ca="1"/>
        <v>312.44</v>
      </c>
      <c r="E121" vm="1909">
        <f ca="1"/>
        <v>90.64</v>
      </c>
      <c r="F121" vm="1910">
        <f ca="1"/>
        <v>74.7</v>
      </c>
      <c r="G121" vm="1911">
        <f ca="1"/>
        <v>8.3699999999999992</v>
      </c>
      <c r="H121" vm="1912">
        <f ca="1"/>
        <v>129.6</v>
      </c>
      <c r="I121" vm="1913">
        <f ca="1"/>
        <v>424.16</v>
      </c>
      <c r="J121" vm="1914">
        <f ca="1"/>
        <v>266.17</v>
      </c>
      <c r="K121" vm="1915">
        <f ca="1"/>
        <v>402.17</v>
      </c>
      <c r="L121" vm="1916">
        <f ca="1"/>
        <v>79.62</v>
      </c>
      <c r="M121" vm="1917">
        <f ca="1"/>
        <v>1005.81</v>
      </c>
      <c r="N121" vm="1918">
        <f ca="1"/>
        <v>249.91</v>
      </c>
      <c r="O121" vm="1497">
        <f ca="1"/>
        <v>120.26</v>
      </c>
      <c r="P121" vm="1919">
        <f ca="1"/>
        <v>185.98</v>
      </c>
      <c r="Q121" vm="1920">
        <f ca="1"/>
        <v>88.66</v>
      </c>
      <c r="R121" t="e">
        <f ca="1"/>
        <v>#N/A</v>
      </c>
    </row>
    <row r="122" spans="1:18" ht="20" customHeight="1" x14ac:dyDescent="0.2">
      <c r="A122" vm="1921">
        <f ca="1"/>
        <v>46134</v>
      </c>
      <c r="B122" vm="1922">
        <f ca="1"/>
        <v>337.73</v>
      </c>
      <c r="C122" vm="1923">
        <f ca="1"/>
        <v>122.54</v>
      </c>
      <c r="D122" vm="1924">
        <f ca="1"/>
        <v>305.14</v>
      </c>
      <c r="E122" vm="1925">
        <f ca="1"/>
        <v>90.47</v>
      </c>
      <c r="F122" vm="1131">
        <f ca="1"/>
        <v>74.63</v>
      </c>
      <c r="G122" vm="1926">
        <f ca="1"/>
        <v>8.44</v>
      </c>
      <c r="H122" vm="1927">
        <f ca="1"/>
        <v>129.97999999999999</v>
      </c>
      <c r="I122" vm="1928">
        <f ca="1"/>
        <v>432.92</v>
      </c>
      <c r="J122" vm="1929">
        <f ca="1"/>
        <v>273.17</v>
      </c>
      <c r="K122" vm="1930">
        <f ca="1"/>
        <v>422.65</v>
      </c>
      <c r="L122" vm="1931">
        <f ca="1"/>
        <v>78.11</v>
      </c>
      <c r="M122" vm="1932">
        <f ca="1"/>
        <v>1003.7</v>
      </c>
      <c r="N122" vm="1933">
        <f ca="1"/>
        <v>255.36</v>
      </c>
      <c r="O122" vm="1934">
        <f ca="1"/>
        <v>122.6</v>
      </c>
      <c r="P122" vm="1935">
        <f ca="1"/>
        <v>186.32</v>
      </c>
      <c r="Q122" vm="1167">
        <f ca="1"/>
        <v>89.49</v>
      </c>
      <c r="R122" t="e">
        <f ca="1"/>
        <v>#N/A</v>
      </c>
    </row>
    <row r="123" spans="1:18" ht="20" customHeight="1" x14ac:dyDescent="0.2">
      <c r="A123" vm="1936">
        <f ca="1"/>
        <v>46135</v>
      </c>
      <c r="B123" vm="1937">
        <f ca="1"/>
        <v>337.75</v>
      </c>
      <c r="C123" vm="1938">
        <f ca="1"/>
        <v>117.42</v>
      </c>
      <c r="D123" vm="1939">
        <f ca="1"/>
        <v>321.75</v>
      </c>
      <c r="E123" vm="1940">
        <f ca="1"/>
        <v>89.64</v>
      </c>
      <c r="F123" vm="1941">
        <f ca="1"/>
        <v>76.28</v>
      </c>
      <c r="G123" vm="1942">
        <f ca="1"/>
        <v>8.31</v>
      </c>
      <c r="H123" vm="1943">
        <f ca="1"/>
        <v>132.03</v>
      </c>
      <c r="I123" vm="1944">
        <f ca="1"/>
        <v>415.75</v>
      </c>
      <c r="J123" vm="1945">
        <f ca="1"/>
        <v>273.43</v>
      </c>
      <c r="K123" vm="1946">
        <f ca="1"/>
        <v>419.94</v>
      </c>
      <c r="L123" vm="1832">
        <f ca="1"/>
        <v>75.900000000000006</v>
      </c>
      <c r="M123" vm="1947">
        <f ca="1"/>
        <v>1014.38</v>
      </c>
      <c r="N123" vm="1948">
        <f ca="1"/>
        <v>255.08</v>
      </c>
      <c r="O123" vm="1949">
        <f ca="1"/>
        <v>124.37</v>
      </c>
      <c r="P123" vm="1950">
        <f ca="1"/>
        <v>187.6</v>
      </c>
      <c r="Q123" vm="1951">
        <f ca="1"/>
        <v>89.27</v>
      </c>
      <c r="R123" t="e">
        <f ca="1"/>
        <v>#N/A</v>
      </c>
    </row>
    <row r="124" spans="1:18" ht="20" customHeight="1" x14ac:dyDescent="0.2">
      <c r="A124" vm="1952">
        <f ca="1"/>
        <v>46136</v>
      </c>
      <c r="B124" vm="1953">
        <f ca="1"/>
        <v>342.32</v>
      </c>
      <c r="C124" vm="1954">
        <f ca="1"/>
        <v>110.14</v>
      </c>
      <c r="D124" vm="1955">
        <f ca="1"/>
        <v>323.45999999999998</v>
      </c>
      <c r="E124" vm="1956">
        <f ca="1"/>
        <v>89.69</v>
      </c>
      <c r="F124" vm="1957">
        <f ca="1"/>
        <v>76.63</v>
      </c>
      <c r="G124" vm="1958">
        <f ca="1"/>
        <v>8.69</v>
      </c>
      <c r="H124" vm="1959">
        <f ca="1"/>
        <v>129.91999999999999</v>
      </c>
      <c r="I124" vm="1960">
        <f ca="1"/>
        <v>424.62</v>
      </c>
      <c r="J124" vm="1961">
        <f ca="1"/>
        <v>271.06</v>
      </c>
      <c r="K124" vm="1962">
        <f ca="1"/>
        <v>422.76</v>
      </c>
      <c r="L124" vm="1963">
        <f ca="1"/>
        <v>76.62</v>
      </c>
      <c r="M124" vm="1964">
        <f ca="1"/>
        <v>1011.15</v>
      </c>
      <c r="N124" vm="1965">
        <f ca="1"/>
        <v>263.99</v>
      </c>
      <c r="O124" vm="1966">
        <f ca="1"/>
        <v>121.76</v>
      </c>
      <c r="P124" vm="1967">
        <f ca="1"/>
        <v>185.21</v>
      </c>
      <c r="Q124" vm="1968">
        <f ca="1"/>
        <v>89.13</v>
      </c>
      <c r="R124" t="e">
        <f ca="1"/>
        <v>#N/A</v>
      </c>
    </row>
    <row r="125" spans="1:18" ht="20" customHeight="1" x14ac:dyDescent="0.2">
      <c r="A125" vm="1969">
        <f ca="1"/>
        <v>46139</v>
      </c>
      <c r="B125" vm="1970">
        <f ca="1"/>
        <v>348.52</v>
      </c>
      <c r="C125" vm="1971">
        <f ca="1"/>
        <v>112.06</v>
      </c>
      <c r="D125" vm="799">
        <f ca="1"/>
        <v>322.43</v>
      </c>
      <c r="E125" vm="1972">
        <f ca="1"/>
        <v>89.96</v>
      </c>
      <c r="F125" vm="765">
        <f ca="1"/>
        <v>75.44</v>
      </c>
      <c r="G125" vm="1973">
        <f ca="1"/>
        <v>8.99</v>
      </c>
      <c r="H125" vm="1974">
        <f ca="1"/>
        <v>127.59</v>
      </c>
      <c r="I125" vm="1975">
        <f ca="1"/>
        <v>424.82</v>
      </c>
      <c r="J125" vm="1976">
        <f ca="1"/>
        <v>267.61</v>
      </c>
      <c r="K125" vm="1977">
        <f ca="1"/>
        <v>418.2</v>
      </c>
      <c r="L125" vm="1978">
        <f ca="1"/>
        <v>77.59</v>
      </c>
      <c r="M125" vm="1979">
        <f ca="1"/>
        <v>998.01</v>
      </c>
      <c r="N125" vm="1980">
        <f ca="1"/>
        <v>261.12</v>
      </c>
      <c r="O125" vm="1981">
        <f ca="1"/>
        <v>121.68</v>
      </c>
      <c r="P125" vm="1269">
        <f ca="1"/>
        <v>184.78</v>
      </c>
      <c r="Q125" vm="1982">
        <f ca="1"/>
        <v>86.91</v>
      </c>
      <c r="R125" t="e">
        <f ca="1"/>
        <v>#N/A</v>
      </c>
    </row>
    <row r="126" spans="1:18" ht="20" customHeight="1" x14ac:dyDescent="0.2">
      <c r="A126" vm="1983">
        <f ca="1"/>
        <v>46140</v>
      </c>
      <c r="B126" vm="1984">
        <f ca="1"/>
        <v>347.5</v>
      </c>
      <c r="C126" vm="1985">
        <f ca="1"/>
        <v>105.53</v>
      </c>
      <c r="D126" vm="1986">
        <f ca="1"/>
        <v>305.02999999999997</v>
      </c>
      <c r="E126" vm="1987">
        <f ca="1"/>
        <v>89.97</v>
      </c>
      <c r="F126" vm="1988">
        <f ca="1"/>
        <v>78.349999999999994</v>
      </c>
      <c r="G126" vm="1989">
        <f ca="1"/>
        <v>8.9</v>
      </c>
      <c r="H126" vm="1974">
        <f ca="1"/>
        <v>127.59</v>
      </c>
      <c r="I126" vm="1990">
        <f ca="1"/>
        <v>429.25</v>
      </c>
      <c r="J126" vm="1991">
        <f ca="1"/>
        <v>270.70999999999998</v>
      </c>
      <c r="K126" vm="1992">
        <f ca="1"/>
        <v>399.83</v>
      </c>
      <c r="L126" vm="1993">
        <f ca="1"/>
        <v>77.489999999999995</v>
      </c>
      <c r="M126" vm="1994">
        <f ca="1"/>
        <v>994</v>
      </c>
      <c r="N126" vm="1995">
        <f ca="1"/>
        <v>259.7</v>
      </c>
      <c r="O126" vm="1996">
        <f ca="1"/>
        <v>124.32</v>
      </c>
      <c r="P126" vm="1997">
        <f ca="1"/>
        <v>188.36</v>
      </c>
      <c r="Q126" vm="1998">
        <f ca="1"/>
        <v>87.59</v>
      </c>
      <c r="R126" t="e">
        <f ca="1"/>
        <v>#N/A</v>
      </c>
    </row>
    <row r="127" spans="1:18" ht="20" customHeight="1" x14ac:dyDescent="0.2">
      <c r="A127" vm="1999">
        <f ca="1"/>
        <v>46141</v>
      </c>
      <c r="B127" vm="2000">
        <f ca="1"/>
        <v>347.31</v>
      </c>
      <c r="C127" vm="2001">
        <f ca="1"/>
        <v>114.19</v>
      </c>
      <c r="D127" vm="2002">
        <f ca="1"/>
        <v>306.18</v>
      </c>
      <c r="E127" vm="2003">
        <f ca="1"/>
        <v>89.28</v>
      </c>
      <c r="F127" vm="676">
        <f ca="1"/>
        <v>78.87</v>
      </c>
      <c r="G127" vm="2004">
        <f ca="1"/>
        <v>8.67</v>
      </c>
      <c r="H127" vm="2005">
        <f ca="1"/>
        <v>128.01</v>
      </c>
      <c r="I127" vm="2006">
        <f ca="1"/>
        <v>424.46</v>
      </c>
      <c r="J127" vm="2007">
        <f ca="1"/>
        <v>270.17</v>
      </c>
      <c r="K127" vm="2008">
        <f ca="1"/>
        <v>405.45</v>
      </c>
      <c r="L127" vm="2009">
        <f ca="1"/>
        <v>77.05</v>
      </c>
      <c r="M127" vm="2010">
        <f ca="1"/>
        <v>998.67</v>
      </c>
      <c r="N127" vm="2011">
        <f ca="1"/>
        <v>263.04000000000002</v>
      </c>
      <c r="O127" vm="2012">
        <f ca="1"/>
        <v>128.25</v>
      </c>
      <c r="P127" vm="2013">
        <f ca="1"/>
        <v>192.22</v>
      </c>
      <c r="Q127" vm="2014">
        <f ca="1"/>
        <v>88.91</v>
      </c>
      <c r="R127" t="e">
        <f ca="1"/>
        <v>#N/A</v>
      </c>
    </row>
    <row r="128" spans="1:18" ht="20" customHeight="1" x14ac:dyDescent="0.2">
      <c r="A128" vm="2015">
        <f ca="1"/>
        <v>46142</v>
      </c>
      <c r="B128" vm="2016">
        <f ca="1"/>
        <v>381.94</v>
      </c>
      <c r="C128" vm="2017">
        <f ca="1"/>
        <v>111.6</v>
      </c>
      <c r="D128" vm="2018">
        <f ca="1"/>
        <v>328.49</v>
      </c>
      <c r="E128" vm="2019">
        <f ca="1"/>
        <v>91.86</v>
      </c>
      <c r="F128" vm="2020">
        <f ca="1"/>
        <v>78.760000000000005</v>
      </c>
      <c r="G128" vm="2021">
        <f ca="1"/>
        <v>8.4</v>
      </c>
      <c r="H128" vm="2022">
        <f ca="1"/>
        <v>131.93</v>
      </c>
      <c r="I128" vm="2023">
        <f ca="1"/>
        <v>407.78</v>
      </c>
      <c r="J128" vm="2024">
        <f ca="1"/>
        <v>271.35000000000002</v>
      </c>
      <c r="K128" vm="2025">
        <f ca="1"/>
        <v>417.43</v>
      </c>
      <c r="L128" vm="1395">
        <f ca="1"/>
        <v>79.5</v>
      </c>
      <c r="M128" vm="2026">
        <f ca="1"/>
        <v>1014.53</v>
      </c>
      <c r="N128" vm="2027">
        <f ca="1"/>
        <v>265.06</v>
      </c>
      <c r="O128" vm="2028">
        <f ca="1"/>
        <v>125.78</v>
      </c>
      <c r="P128" vm="2029">
        <f ca="1"/>
        <v>193.31</v>
      </c>
      <c r="Q128" vm="2030">
        <f ca="1"/>
        <v>90.67</v>
      </c>
      <c r="R128" t="e">
        <f ca="1"/>
        <v>#N/A</v>
      </c>
    </row>
    <row r="129" spans="1:18" ht="20" customHeight="1" x14ac:dyDescent="0.2">
      <c r="A129" vm="2031">
        <f ca="1"/>
        <v>46143</v>
      </c>
      <c r="B129" vm="2032">
        <f ca="1"/>
        <v>383.22</v>
      </c>
      <c r="C129" vm="2033">
        <f ca="1"/>
        <v>119.01</v>
      </c>
      <c r="D129" vm="2034">
        <f ca="1"/>
        <v>328.31</v>
      </c>
      <c r="E129" vm="2035">
        <f ca="1"/>
        <v>91.95</v>
      </c>
      <c r="F129" vm="2036">
        <f ca="1"/>
        <v>78.58</v>
      </c>
      <c r="G129" t="e">
        <f ca="1"/>
        <v>#N/A</v>
      </c>
      <c r="H129" vm="2037">
        <f ca="1"/>
        <v>131.6</v>
      </c>
      <c r="I129" vm="2038">
        <f ca="1"/>
        <v>414.44</v>
      </c>
      <c r="J129" vm="2039">
        <f ca="1"/>
        <v>280.14</v>
      </c>
      <c r="K129" vm="2040">
        <f ca="1"/>
        <v>421.28</v>
      </c>
      <c r="L129" vm="2041">
        <f ca="1"/>
        <v>80.459999999999994</v>
      </c>
      <c r="M129" vm="2042">
        <f ca="1"/>
        <v>1011.7</v>
      </c>
      <c r="N129" vm="1473">
        <f ca="1"/>
        <v>268.26</v>
      </c>
      <c r="O129" vm="2043">
        <f ca="1"/>
        <v>123.19</v>
      </c>
      <c r="P129" vm="2044">
        <f ca="1"/>
        <v>190.63</v>
      </c>
      <c r="Q129" vm="1089">
        <f ca="1"/>
        <v>88.98</v>
      </c>
      <c r="R129" t="e">
        <f ca="1"/>
        <v>#N/A</v>
      </c>
    </row>
    <row r="130" spans="1:18" ht="20" customHeight="1" x14ac:dyDescent="0.2">
      <c r="A130" vm="2045">
        <f ca="1"/>
        <v>46146</v>
      </c>
      <c r="B130" vm="2046">
        <f ca="1"/>
        <v>379.64</v>
      </c>
      <c r="C130" vm="2047">
        <f ca="1"/>
        <v>125.43</v>
      </c>
      <c r="D130" vm="2048">
        <f ca="1"/>
        <v>330.97</v>
      </c>
      <c r="E130" vm="2049">
        <f ca="1"/>
        <v>90.13</v>
      </c>
      <c r="F130" vm="1504">
        <f ca="1"/>
        <v>78.19</v>
      </c>
      <c r="G130" vm="2050">
        <f ca="1"/>
        <v>8.39</v>
      </c>
      <c r="H130" vm="2051">
        <f ca="1"/>
        <v>130.33000000000001</v>
      </c>
      <c r="I130" vm="2052">
        <f ca="1"/>
        <v>413.62</v>
      </c>
      <c r="J130" vm="2053">
        <f ca="1"/>
        <v>276.83</v>
      </c>
      <c r="K130" vm="2054">
        <f ca="1"/>
        <v>416.5</v>
      </c>
      <c r="L130" vm="2055">
        <f ca="1"/>
        <v>81.72</v>
      </c>
      <c r="M130" vm="2056">
        <f ca="1"/>
        <v>1012.79</v>
      </c>
      <c r="N130" vm="2057">
        <f ca="1"/>
        <v>272.05</v>
      </c>
      <c r="O130" vm="2058">
        <f ca="1"/>
        <v>124.91</v>
      </c>
      <c r="P130" vm="2059">
        <f ca="1"/>
        <v>192.28</v>
      </c>
      <c r="Q130" vm="2060">
        <f ca="1"/>
        <v>89.26</v>
      </c>
      <c r="R130" t="e">
        <f ca="1"/>
        <v>#N/A</v>
      </c>
    </row>
    <row r="131" spans="1:18" ht="20" customHeight="1" x14ac:dyDescent="0.2">
      <c r="A131" vm="2061">
        <f ca="1"/>
        <v>46147</v>
      </c>
      <c r="B131" vm="2062">
        <f ca="1"/>
        <v>384.27</v>
      </c>
      <c r="C131" vm="2063">
        <f ca="1"/>
        <v>127.89</v>
      </c>
      <c r="D131" vm="2064">
        <f ca="1"/>
        <v>341.02</v>
      </c>
      <c r="E131" vm="1291">
        <f ca="1"/>
        <v>87.4</v>
      </c>
      <c r="F131" vm="2065">
        <f ca="1"/>
        <v>78.48</v>
      </c>
      <c r="G131" vm="2066">
        <f ca="1"/>
        <v>8.2799999999999994</v>
      </c>
      <c r="H131" vm="2067">
        <f ca="1"/>
        <v>130.79</v>
      </c>
      <c r="I131" vm="2068">
        <f ca="1"/>
        <v>411.38</v>
      </c>
      <c r="J131" vm="2069">
        <f ca="1"/>
        <v>284.18</v>
      </c>
      <c r="K131" vm="2070">
        <f ca="1"/>
        <v>427.36</v>
      </c>
      <c r="L131" vm="2071">
        <f ca="1"/>
        <v>83.91</v>
      </c>
      <c r="M131" vm="2072">
        <f ca="1"/>
        <v>1016.42</v>
      </c>
      <c r="N131" vm="2073">
        <f ca="1"/>
        <v>273.55</v>
      </c>
      <c r="O131" vm="2074">
        <f ca="1"/>
        <v>123.32</v>
      </c>
      <c r="P131" vm="2075">
        <f ca="1"/>
        <v>192.64</v>
      </c>
      <c r="Q131" vm="2076">
        <f ca="1"/>
        <v>89.71</v>
      </c>
      <c r="R131" t="e">
        <f ca="1"/>
        <v>#N/A</v>
      </c>
    </row>
    <row r="132" spans="1:18" ht="20" customHeight="1" x14ac:dyDescent="0.2">
      <c r="A132" vm="2077">
        <f ca="1"/>
        <v>46148</v>
      </c>
      <c r="B132" vm="2078">
        <f ca="1"/>
        <v>395.14</v>
      </c>
      <c r="C132" vm="2079">
        <f ca="1"/>
        <v>137.97999999999999</v>
      </c>
      <c r="D132" vm="2080">
        <f ca="1"/>
        <v>358.92</v>
      </c>
      <c r="E132" vm="2081">
        <f ca="1"/>
        <v>91.4</v>
      </c>
      <c r="F132" vm="2082">
        <f ca="1"/>
        <v>79.23</v>
      </c>
      <c r="G132" vm="2083">
        <f ca="1"/>
        <v>8.61</v>
      </c>
      <c r="H132" vm="2084">
        <f ca="1"/>
        <v>130.08000000000001</v>
      </c>
      <c r="I132" vm="2085">
        <f ca="1"/>
        <v>413.96</v>
      </c>
      <c r="J132" vm="2086">
        <f ca="1"/>
        <v>287.51</v>
      </c>
      <c r="K132" vm="2087">
        <f ca="1"/>
        <v>425.44</v>
      </c>
      <c r="L132" vm="2088">
        <f ca="1"/>
        <v>87.04</v>
      </c>
      <c r="M132" vm="2089">
        <f ca="1"/>
        <v>995.75</v>
      </c>
      <c r="N132" vm="2090">
        <f ca="1"/>
        <v>274.99</v>
      </c>
      <c r="O132" vm="2091">
        <f ca="1"/>
        <v>118.9</v>
      </c>
      <c r="P132" vm="2092">
        <f ca="1"/>
        <v>185.16</v>
      </c>
      <c r="Q132" vm="2093">
        <f ca="1"/>
        <v>87.2</v>
      </c>
      <c r="R132" t="e">
        <f ca="1"/>
        <v>#N/A</v>
      </c>
    </row>
    <row r="133" spans="1:18" ht="20" customHeight="1" x14ac:dyDescent="0.2">
      <c r="A133" vm="2094">
        <f ca="1"/>
        <v>46149</v>
      </c>
      <c r="B133" vm="2095">
        <f ca="1"/>
        <v>395.3</v>
      </c>
      <c r="C133" vm="2096">
        <f ca="1"/>
        <v>128.84</v>
      </c>
      <c r="D133" vm="2097">
        <f ca="1"/>
        <v>340.01</v>
      </c>
      <c r="E133" vm="2098">
        <f ca="1"/>
        <v>88.97</v>
      </c>
      <c r="F133" vm="2099">
        <f ca="1"/>
        <v>78.430000000000007</v>
      </c>
      <c r="G133" vm="2100">
        <f ca="1"/>
        <v>8.84</v>
      </c>
      <c r="H133" vm="2101">
        <f ca="1"/>
        <v>130.19999999999999</v>
      </c>
      <c r="I133" vm="2102">
        <f ca="1"/>
        <v>420.77</v>
      </c>
      <c r="J133" vm="2103">
        <f ca="1"/>
        <v>287.44</v>
      </c>
      <c r="K133" vm="2104">
        <f ca="1"/>
        <v>412.56</v>
      </c>
      <c r="L133" vm="2105">
        <f ca="1"/>
        <v>83.71</v>
      </c>
      <c r="M133" vm="2106">
        <f ca="1"/>
        <v>1012.06</v>
      </c>
      <c r="N133" vm="2107">
        <f ca="1"/>
        <v>271.17</v>
      </c>
      <c r="O133" vm="2108">
        <f ca="1"/>
        <v>114.88</v>
      </c>
      <c r="P133" vm="2109">
        <f ca="1"/>
        <v>182.5</v>
      </c>
      <c r="Q133" vm="2110">
        <f ca="1"/>
        <v>84.24</v>
      </c>
      <c r="R133" t="e">
        <f ca="1"/>
        <v>#N/A</v>
      </c>
    </row>
    <row r="134" spans="1:18" ht="20" customHeight="1" x14ac:dyDescent="0.2">
      <c r="A134" vm="2111">
        <f ca="1"/>
        <v>46150</v>
      </c>
      <c r="B134" vm="2112">
        <f ca="1"/>
        <v>397.05</v>
      </c>
      <c r="C134" vm="1467">
        <f ca="1"/>
        <v>114.15</v>
      </c>
      <c r="D134" vm="2113">
        <f ca="1"/>
        <v>339.97</v>
      </c>
      <c r="E134" vm="2114">
        <f ca="1"/>
        <v>90.16</v>
      </c>
      <c r="F134" vm="1157">
        <f ca="1"/>
        <v>78.42</v>
      </c>
      <c r="G134" vm="2115">
        <f ca="1"/>
        <v>9.11</v>
      </c>
      <c r="H134" vm="2116">
        <f ca="1"/>
        <v>130.43</v>
      </c>
      <c r="I134" vm="2117">
        <f ca="1"/>
        <v>415.12</v>
      </c>
      <c r="J134" vm="2118">
        <f ca="1"/>
        <v>293.32</v>
      </c>
      <c r="K134" vm="2119">
        <f ca="1"/>
        <v>430</v>
      </c>
      <c r="L134" vm="2120">
        <f ca="1"/>
        <v>84.42</v>
      </c>
      <c r="M134" vm="2121">
        <f ca="1"/>
        <v>1008.79</v>
      </c>
      <c r="N134" vm="2122">
        <f ca="1"/>
        <v>272.68</v>
      </c>
      <c r="O134" vm="2123">
        <f ca="1"/>
        <v>113.87</v>
      </c>
      <c r="P134" vm="2124">
        <f ca="1"/>
        <v>181.62</v>
      </c>
      <c r="Q134" vm="2125">
        <f ca="1"/>
        <v>83.97</v>
      </c>
      <c r="R134" t="e">
        <f ca="1"/>
        <v>#N/A</v>
      </c>
    </row>
    <row r="135" spans="1:18" ht="20" customHeight="1" x14ac:dyDescent="0.2">
      <c r="A135" vm="2126">
        <f ca="1"/>
        <v>46153</v>
      </c>
      <c r="B135" vm="2127">
        <f ca="1"/>
        <v>386.77</v>
      </c>
      <c r="C135" vm="2128">
        <f ca="1"/>
        <v>114.7</v>
      </c>
      <c r="D135" vm="2129">
        <f ca="1"/>
        <v>367.92</v>
      </c>
      <c r="E135" vm="2130">
        <f ca="1"/>
        <v>90.55</v>
      </c>
      <c r="F135" vm="2131">
        <f ca="1"/>
        <v>78.66</v>
      </c>
      <c r="G135" vm="2132">
        <f ca="1"/>
        <v>9.2100000000000009</v>
      </c>
      <c r="H135" vm="1974">
        <f ca="1"/>
        <v>127.59</v>
      </c>
      <c r="I135" vm="2133">
        <f ca="1"/>
        <v>412.66</v>
      </c>
      <c r="J135" vm="2134">
        <f ca="1"/>
        <v>292.68</v>
      </c>
      <c r="K135" vm="2135">
        <f ca="1"/>
        <v>428.43</v>
      </c>
      <c r="L135" vm="2136">
        <f ca="1"/>
        <v>84.91</v>
      </c>
      <c r="M135" vm="2137">
        <f ca="1"/>
        <v>999.47</v>
      </c>
      <c r="N135" vm="2138">
        <f ca="1"/>
        <v>268.99</v>
      </c>
      <c r="O135" vm="2139">
        <f ca="1"/>
        <v>115.55</v>
      </c>
      <c r="P135" vm="2140">
        <f ca="1"/>
        <v>184.74</v>
      </c>
      <c r="Q135" vm="2141">
        <f ca="1"/>
        <v>85.36</v>
      </c>
      <c r="R135" t="e">
        <f ca="1"/>
        <v>#N/A</v>
      </c>
    </row>
    <row r="136" spans="1:18" ht="20" customHeight="1" x14ac:dyDescent="0.2">
      <c r="A136" vm="2142">
        <f ca="1"/>
        <v>46154</v>
      </c>
      <c r="B136" vm="2143">
        <f ca="1"/>
        <v>383.82</v>
      </c>
      <c r="C136" vm="2144">
        <f ca="1"/>
        <v>107.75</v>
      </c>
      <c r="D136" vm="2145">
        <f ca="1"/>
        <v>367.13</v>
      </c>
      <c r="E136" vm="1987">
        <f ca="1"/>
        <v>89.97</v>
      </c>
      <c r="F136" vm="2146">
        <f ca="1"/>
        <v>80.03</v>
      </c>
      <c r="G136" vm="2147">
        <f ca="1"/>
        <v>9.1</v>
      </c>
      <c r="H136" vm="2148">
        <f ca="1"/>
        <v>130.35</v>
      </c>
      <c r="I136" vm="2149">
        <f ca="1"/>
        <v>407.77</v>
      </c>
      <c r="J136" vm="2150">
        <f ca="1"/>
        <v>294.8</v>
      </c>
      <c r="K136" vm="2151">
        <f ca="1"/>
        <v>419.3</v>
      </c>
      <c r="L136" vm="2152">
        <f ca="1"/>
        <v>84.59</v>
      </c>
      <c r="M136" vm="2153">
        <f ca="1"/>
        <v>1021.88</v>
      </c>
      <c r="N136" vm="2154">
        <f ca="1"/>
        <v>265.82</v>
      </c>
      <c r="O136" vm="2155">
        <f ca="1"/>
        <v>117.87</v>
      </c>
      <c r="P136" vm="2156">
        <f ca="1"/>
        <v>185.95</v>
      </c>
      <c r="Q136" vm="2157">
        <f ca="1"/>
        <v>85.35</v>
      </c>
      <c r="R136" t="e">
        <f ca="1"/>
        <v>#N/A</v>
      </c>
    </row>
    <row r="137" spans="1:18" ht="20" customHeight="1" x14ac:dyDescent="0.2">
      <c r="A137" vm="2158">
        <f ca="1"/>
        <v>46155</v>
      </c>
      <c r="B137" vm="2159">
        <f ca="1"/>
        <v>399.04</v>
      </c>
      <c r="C137" vm="2160">
        <f ca="1"/>
        <v>111.31</v>
      </c>
      <c r="D137" vm="2161">
        <f ca="1"/>
        <v>369.99</v>
      </c>
      <c r="E137" vm="2162">
        <f ca="1"/>
        <v>90.63</v>
      </c>
      <c r="F137" vm="659">
        <f ca="1"/>
        <v>80.260000000000005</v>
      </c>
      <c r="G137" vm="2163">
        <f ca="1"/>
        <v>9.41</v>
      </c>
      <c r="H137" vm="2164">
        <f ca="1"/>
        <v>131.47</v>
      </c>
      <c r="I137" vm="2165">
        <f ca="1"/>
        <v>405.21</v>
      </c>
      <c r="J137" vm="2166">
        <f ca="1"/>
        <v>298.87</v>
      </c>
      <c r="K137" vm="2167">
        <f ca="1"/>
        <v>416.79</v>
      </c>
      <c r="L137" vm="2168">
        <f ca="1"/>
        <v>85.12</v>
      </c>
      <c r="M137" vm="2169">
        <f ca="1"/>
        <v>1033.08</v>
      </c>
      <c r="N137" vm="2170">
        <f ca="1"/>
        <v>270.13</v>
      </c>
      <c r="O137" vm="2171">
        <f ca="1"/>
        <v>117.4</v>
      </c>
      <c r="P137" vm="2172">
        <f ca="1"/>
        <v>186</v>
      </c>
      <c r="Q137" vm="2173">
        <f ca="1"/>
        <v>84.93</v>
      </c>
      <c r="R137" t="e">
        <f ca="1"/>
        <v>#N/A</v>
      </c>
    </row>
    <row r="138" spans="1:18" ht="20" customHeight="1" x14ac:dyDescent="0.2">
      <c r="A138" vm="2174">
        <f ca="1"/>
        <v>46156</v>
      </c>
      <c r="B138" vm="2175">
        <f ca="1"/>
        <v>397.17</v>
      </c>
      <c r="C138" vm="2176">
        <f ca="1"/>
        <v>114.215</v>
      </c>
      <c r="D138" vm="2177">
        <f ca="1"/>
        <v>376.23</v>
      </c>
      <c r="E138" vm="1151">
        <f ca="1"/>
        <v>90.72</v>
      </c>
      <c r="F138" vm="753">
        <f ca="1"/>
        <v>80.45</v>
      </c>
      <c r="G138" vm="2178">
        <f ca="1"/>
        <v>9.7799999999999994</v>
      </c>
      <c r="H138" vm="2179">
        <f ca="1"/>
        <v>132.46</v>
      </c>
      <c r="I138" vm="2180">
        <f ca="1"/>
        <v>409.43</v>
      </c>
      <c r="J138" vm="2181">
        <f ca="1"/>
        <v>298.20999999999998</v>
      </c>
      <c r="K138" vm="2182">
        <f ca="1"/>
        <v>439.79</v>
      </c>
      <c r="L138" vm="2183">
        <f ca="1"/>
        <v>88.28</v>
      </c>
      <c r="M138" vm="2184">
        <f ca="1"/>
        <v>1041.25</v>
      </c>
      <c r="N138" vm="2185">
        <f ca="1"/>
        <v>267.22000000000003</v>
      </c>
      <c r="O138" vm="2186">
        <f ca="1"/>
        <v>118.97</v>
      </c>
      <c r="P138" vm="2187">
        <f ca="1"/>
        <v>186.64</v>
      </c>
      <c r="Q138" vm="2188">
        <f ca="1"/>
        <v>84.51</v>
      </c>
      <c r="R138" t="e">
        <f ca="1"/>
        <v>#N/A</v>
      </c>
    </row>
    <row r="139" spans="1:18" ht="20" customHeight="1" x14ac:dyDescent="0.2">
      <c r="A139" vm="2189">
        <f ca="1"/>
        <v>46157</v>
      </c>
      <c r="B139" vm="2190">
        <f ca="1"/>
        <v>393.32</v>
      </c>
      <c r="C139" vm="2191">
        <f ca="1"/>
        <v>107.3</v>
      </c>
      <c r="D139" vm="2192">
        <f ca="1"/>
        <v>370.94</v>
      </c>
      <c r="E139" vm="2193">
        <f ca="1"/>
        <v>88.38</v>
      </c>
      <c r="F139" vm="2194">
        <f ca="1"/>
        <v>80.819999999999993</v>
      </c>
      <c r="G139" vm="2195">
        <f ca="1"/>
        <v>9.59</v>
      </c>
      <c r="H139" vm="2196">
        <f ca="1"/>
        <v>131.44999999999999</v>
      </c>
      <c r="I139" vm="2197">
        <f ca="1"/>
        <v>421.92</v>
      </c>
      <c r="J139" vm="2198">
        <f ca="1"/>
        <v>300.23</v>
      </c>
      <c r="K139" vm="2199">
        <f ca="1"/>
        <v>425.19</v>
      </c>
      <c r="L139" vm="1024">
        <f ca="1"/>
        <v>87</v>
      </c>
      <c r="M139" vm="2200">
        <f ca="1"/>
        <v>1048.95</v>
      </c>
      <c r="N139" vm="2201">
        <f ca="1"/>
        <v>264.14</v>
      </c>
      <c r="O139" vm="2202">
        <f ca="1"/>
        <v>122.41</v>
      </c>
      <c r="P139" vm="2203">
        <f ca="1"/>
        <v>191.1</v>
      </c>
      <c r="Q139" vm="2141">
        <f ca="1"/>
        <v>85.36</v>
      </c>
      <c r="R139" t="e">
        <f ca="1"/>
        <v>#N/A</v>
      </c>
    </row>
    <row r="140" spans="1:18" ht="20" customHeight="1" x14ac:dyDescent="0.2">
      <c r="A140" vm="2204">
        <f ca="1"/>
        <v>46160</v>
      </c>
      <c r="B140" vm="1834">
        <f ca="1"/>
        <v>393.11</v>
      </c>
      <c r="C140" vm="2205">
        <f ca="1"/>
        <v>103.77</v>
      </c>
      <c r="D140" vm="2206">
        <f ca="1"/>
        <v>339.73</v>
      </c>
      <c r="E140" vm="2049">
        <f ca="1"/>
        <v>90.13</v>
      </c>
      <c r="F140" vm="2207">
        <f ca="1"/>
        <v>81.2</v>
      </c>
      <c r="G140" vm="2208">
        <f ca="1"/>
        <v>9.27</v>
      </c>
      <c r="H140" vm="2209">
        <f ca="1"/>
        <v>133.34</v>
      </c>
      <c r="I140" vm="2210">
        <f ca="1"/>
        <v>423.54</v>
      </c>
      <c r="J140" vm="2211">
        <f ca="1"/>
        <v>297.83999999999997</v>
      </c>
      <c r="K140" vm="2212">
        <f ca="1"/>
        <v>420.71</v>
      </c>
      <c r="L140" vm="2213">
        <f ca="1"/>
        <v>86.12</v>
      </c>
      <c r="M140" vm="2214">
        <f ca="1"/>
        <v>1076.47</v>
      </c>
      <c r="N140" vm="2215">
        <f ca="1"/>
        <v>264.86</v>
      </c>
      <c r="O140" vm="2216">
        <f ca="1"/>
        <v>124.54</v>
      </c>
      <c r="P140" vm="2217">
        <f ca="1"/>
        <v>196.12</v>
      </c>
      <c r="Q140" vm="2218">
        <f ca="1"/>
        <v>88.59</v>
      </c>
      <c r="R140" t="e">
        <f ca="1"/>
        <v>#N/A</v>
      </c>
    </row>
    <row r="141" spans="1:18" ht="20" customHeight="1" x14ac:dyDescent="0.2">
      <c r="A141" vm="2219">
        <f ca="1"/>
        <v>46161</v>
      </c>
      <c r="B141" vm="2220">
        <f ca="1"/>
        <v>384.9</v>
      </c>
      <c r="C141" vm="2221">
        <f ca="1"/>
        <v>99.81</v>
      </c>
      <c r="D141" vm="2222">
        <f ca="1"/>
        <v>322.63</v>
      </c>
      <c r="E141" vm="2223">
        <f ca="1"/>
        <v>88.47</v>
      </c>
      <c r="F141" vm="2224">
        <f ca="1"/>
        <v>81.92</v>
      </c>
      <c r="G141" vm="2225">
        <f ca="1"/>
        <v>9.26</v>
      </c>
      <c r="H141" vm="2226">
        <f ca="1"/>
        <v>134.19999999999999</v>
      </c>
      <c r="I141" vm="2227">
        <f ca="1"/>
        <v>417.42</v>
      </c>
      <c r="J141" vm="2228">
        <f ca="1"/>
        <v>298.97000000000003</v>
      </c>
      <c r="K141" vm="2229">
        <f ca="1"/>
        <v>411.07</v>
      </c>
      <c r="L141" vm="2230">
        <f ca="1"/>
        <v>83.45</v>
      </c>
      <c r="M141" vm="2231">
        <f ca="1"/>
        <v>1094.32</v>
      </c>
      <c r="N141" vm="2232">
        <f ca="1"/>
        <v>259.33999999999997</v>
      </c>
      <c r="O141" vm="2233">
        <f ca="1"/>
        <v>125.11</v>
      </c>
      <c r="P141" vm="2234">
        <f ca="1"/>
        <v>197.25</v>
      </c>
      <c r="Q141" vm="2235">
        <f ca="1"/>
        <v>88.46</v>
      </c>
      <c r="R141" t="e">
        <f ca="1"/>
        <v>#N/A</v>
      </c>
    </row>
    <row r="142" spans="1:18" ht="20" customHeight="1" x14ac:dyDescent="0.2">
      <c r="A142" vm="2236">
        <f ca="1"/>
        <v>46162</v>
      </c>
      <c r="B142" vm="2220">
        <f ca="1"/>
        <v>384.9</v>
      </c>
      <c r="C142" vm="2237">
        <f ca="1"/>
        <v>101.28</v>
      </c>
      <c r="D142" vm="675">
        <f ca="1"/>
        <v>315.67</v>
      </c>
      <c r="E142" vm="2238">
        <f ca="1"/>
        <v>91.99</v>
      </c>
      <c r="F142" vm="2239">
        <f ca="1"/>
        <v>81.55</v>
      </c>
      <c r="G142" vm="2240">
        <f ca="1"/>
        <v>9.43</v>
      </c>
      <c r="H142" vm="2241">
        <f ca="1"/>
        <v>130.85</v>
      </c>
      <c r="I142" vm="2242">
        <f ca="1"/>
        <v>421.06</v>
      </c>
      <c r="J142" vm="2243">
        <f ca="1"/>
        <v>302.25</v>
      </c>
      <c r="K142" vm="2244">
        <f ca="1"/>
        <v>417.76</v>
      </c>
      <c r="L142" vm="2245">
        <f ca="1"/>
        <v>83.79</v>
      </c>
      <c r="M142" vm="2246">
        <f ca="1"/>
        <v>1074.01</v>
      </c>
      <c r="N142" vm="2247">
        <f ca="1"/>
        <v>265.01</v>
      </c>
      <c r="O142" vm="2248">
        <f ca="1"/>
        <v>122.36</v>
      </c>
      <c r="P142" vm="2249">
        <f ca="1"/>
        <v>191.33</v>
      </c>
      <c r="Q142" vm="2250">
        <f ca="1"/>
        <v>86.72</v>
      </c>
      <c r="R142" t="e">
        <f ca="1"/>
        <v>#N/A</v>
      </c>
    </row>
    <row r="143" spans="1:18" ht="20" customHeight="1" x14ac:dyDescent="0.2">
      <c r="A143" vm="2251">
        <f ca="1"/>
        <v>46163</v>
      </c>
      <c r="B143" vm="2252">
        <f ca="1"/>
        <v>383.47</v>
      </c>
      <c r="C143" vm="2253">
        <f ca="1"/>
        <v>107.58</v>
      </c>
      <c r="D143" vm="2254">
        <f ca="1"/>
        <v>323.39999999999998</v>
      </c>
      <c r="E143" vm="2255">
        <f ca="1"/>
        <v>92.05</v>
      </c>
      <c r="F143" vm="2256">
        <f ca="1"/>
        <v>81.17</v>
      </c>
      <c r="G143" vm="2257">
        <f ca="1"/>
        <v>9.19</v>
      </c>
      <c r="H143" vm="2258">
        <f ca="1"/>
        <v>121.34</v>
      </c>
      <c r="I143" vm="2259">
        <f ca="1"/>
        <v>419.09</v>
      </c>
      <c r="J143" vm="2260">
        <f ca="1"/>
        <v>304.99</v>
      </c>
      <c r="K143" vm="2261">
        <f ca="1"/>
        <v>414.57</v>
      </c>
      <c r="L143" vm="2262">
        <f ca="1"/>
        <v>83.83</v>
      </c>
      <c r="M143" vm="2263">
        <f ca="1"/>
        <v>1050.45</v>
      </c>
      <c r="N143" vm="2264">
        <f ca="1"/>
        <v>268.45999999999998</v>
      </c>
      <c r="O143" vm="2265">
        <f ca="1"/>
        <v>120.55</v>
      </c>
      <c r="P143" vm="2266">
        <f ca="1"/>
        <v>191.01</v>
      </c>
      <c r="Q143" vm="2267">
        <f ca="1"/>
        <v>86.93</v>
      </c>
      <c r="R143" t="e">
        <f ca="1"/>
        <v>#N/A</v>
      </c>
    </row>
    <row r="144" spans="1:18" ht="20" customHeight="1" x14ac:dyDescent="0.2">
      <c r="A144" vm="2268">
        <f ca="1"/>
        <v>46164</v>
      </c>
      <c r="B144" vm="2269">
        <f ca="1"/>
        <v>379.38</v>
      </c>
      <c r="C144" vm="2270">
        <f ca="1"/>
        <v>105.49</v>
      </c>
      <c r="D144" vm="2271">
        <f ca="1"/>
        <v>327.45999999999998</v>
      </c>
      <c r="E144" vm="2272">
        <f ca="1"/>
        <v>92.02</v>
      </c>
      <c r="F144" vm="2273">
        <f ca="1"/>
        <v>81.48</v>
      </c>
      <c r="G144" vm="2274">
        <f ca="1"/>
        <v>9.02</v>
      </c>
      <c r="H144" vm="2275">
        <f ca="1"/>
        <v>120.27</v>
      </c>
      <c r="I144" vm="2276">
        <f ca="1"/>
        <v>418.57</v>
      </c>
      <c r="J144" vm="2277">
        <f ca="1"/>
        <v>308.82</v>
      </c>
      <c r="K144" vm="2278">
        <f ca="1"/>
        <v>414.14</v>
      </c>
      <c r="L144" vm="2279">
        <f ca="1"/>
        <v>81.349999999999994</v>
      </c>
      <c r="M144" vm="2280">
        <f ca="1"/>
        <v>1028.24</v>
      </c>
      <c r="N144" vm="2281">
        <f ca="1"/>
        <v>266.32</v>
      </c>
      <c r="O144" vm="2282">
        <f ca="1"/>
        <v>120.46</v>
      </c>
      <c r="P144" vm="2283">
        <f ca="1"/>
        <v>191.43</v>
      </c>
      <c r="Q144" vm="2284">
        <f ca="1"/>
        <v>85.71</v>
      </c>
      <c r="R144" t="e">
        <f ca="1"/>
        <v>#N/A</v>
      </c>
    </row>
    <row r="145" spans="1:18" ht="20" customHeight="1" x14ac:dyDescent="0.2">
      <c r="A145" vm="2285">
        <f ca="1"/>
        <v>46168</v>
      </c>
      <c r="B145" vm="2286">
        <f ca="1"/>
        <v>384.84</v>
      </c>
      <c r="C145" vm="2287">
        <f ca="1"/>
        <v>105.89</v>
      </c>
      <c r="D145" vm="2288">
        <f ca="1"/>
        <v>323.91000000000003</v>
      </c>
      <c r="E145" vm="2289">
        <f ca="1"/>
        <v>93.74</v>
      </c>
      <c r="F145" vm="2041">
        <f ca="1"/>
        <v>80.459999999999994</v>
      </c>
      <c r="G145" vm="2290">
        <f ca="1"/>
        <v>8.92</v>
      </c>
      <c r="H145" vm="2291">
        <f ca="1"/>
        <v>118.57</v>
      </c>
      <c r="I145" vm="2292">
        <f ca="1"/>
        <v>416.03</v>
      </c>
      <c r="J145" vm="2293">
        <f ca="1"/>
        <v>308.33</v>
      </c>
      <c r="K145" vm="2294">
        <f ca="1"/>
        <v>422.01</v>
      </c>
      <c r="L145" vm="2295">
        <f ca="1"/>
        <v>82.89</v>
      </c>
      <c r="M145" vm="2296">
        <f ca="1"/>
        <v>1002.93</v>
      </c>
      <c r="N145" vm="2297">
        <f ca="1"/>
        <v>265.29000000000002</v>
      </c>
      <c r="O145" vm="1027">
        <f ca="1"/>
        <v>116.57</v>
      </c>
      <c r="P145" vm="2298">
        <f ca="1"/>
        <v>184.71</v>
      </c>
      <c r="Q145" vm="2299">
        <f ca="1"/>
        <v>85.03</v>
      </c>
      <c r="R145" t="e">
        <f ca="1"/>
        <v>#N/A</v>
      </c>
    </row>
    <row r="146" spans="1:18" ht="20" customHeight="1" x14ac:dyDescent="0.2">
      <c r="A146" vm="2300">
        <f ca="1"/>
        <v>46169</v>
      </c>
      <c r="B146" vm="2301">
        <f ca="1"/>
        <v>384.83</v>
      </c>
      <c r="C146" vm="2302">
        <f ca="1"/>
        <v>104.27</v>
      </c>
      <c r="D146" vm="2303">
        <f ca="1"/>
        <v>319.77999999999997</v>
      </c>
      <c r="E146" vm="2304">
        <f ca="1"/>
        <v>94.68</v>
      </c>
      <c r="F146" vm="2305">
        <f ca="1"/>
        <v>81.62</v>
      </c>
      <c r="G146" vm="91">
        <f ca="1"/>
        <v>8.91</v>
      </c>
      <c r="H146" vm="2306">
        <f ca="1"/>
        <v>118.54</v>
      </c>
      <c r="I146" vm="2307">
        <f ca="1"/>
        <v>412.67</v>
      </c>
      <c r="J146" vm="2308">
        <f ca="1"/>
        <v>310.85000000000002</v>
      </c>
      <c r="K146" vm="2309">
        <f ca="1"/>
        <v>421.86</v>
      </c>
      <c r="L146" vm="2310">
        <f ca="1"/>
        <v>80.95</v>
      </c>
      <c r="M146" vm="2311">
        <f ca="1"/>
        <v>1003.69</v>
      </c>
      <c r="N146" vm="2312">
        <f ca="1"/>
        <v>271.85000000000002</v>
      </c>
      <c r="O146" vm="2313">
        <f ca="1"/>
        <v>115.13</v>
      </c>
      <c r="P146" vm="1207">
        <f ca="1"/>
        <v>182.4</v>
      </c>
      <c r="Q146" vm="2314">
        <f ca="1"/>
        <v>83.81</v>
      </c>
      <c r="R146" t="e">
        <f ca="1"/>
        <v>#N/A</v>
      </c>
    </row>
    <row r="147" spans="1:18" ht="20" customHeight="1" x14ac:dyDescent="0.2">
      <c r="A147" vm="2315">
        <f ca="1"/>
        <v>46170</v>
      </c>
      <c r="B147" vm="2316">
        <f ca="1"/>
        <v>386.12</v>
      </c>
      <c r="C147" vm="2317">
        <f ca="1"/>
        <v>106.86</v>
      </c>
      <c r="D147" vm="2318">
        <f ca="1"/>
        <v>314.18</v>
      </c>
      <c r="E147" vm="2319">
        <f ca="1"/>
        <v>92.95</v>
      </c>
      <c r="F147" vm="2320">
        <f ca="1"/>
        <v>80.41</v>
      </c>
      <c r="G147" vm="2321">
        <f ca="1"/>
        <v>8.9700000000000006</v>
      </c>
      <c r="H147" vm="2091">
        <f ca="1"/>
        <v>118.9</v>
      </c>
      <c r="I147" vm="2322">
        <f ca="1"/>
        <v>426.99</v>
      </c>
      <c r="J147" vm="2323">
        <f ca="1"/>
        <v>312.51</v>
      </c>
      <c r="K147" vm="2324">
        <f ca="1"/>
        <v>426.58</v>
      </c>
      <c r="L147" vm="2325">
        <f ca="1"/>
        <v>83.11</v>
      </c>
      <c r="M147" vm="2326">
        <f ca="1"/>
        <v>995.2</v>
      </c>
      <c r="N147" vm="2327">
        <f ca="1"/>
        <v>274</v>
      </c>
      <c r="O147" vm="2328">
        <f ca="1"/>
        <v>114.99</v>
      </c>
      <c r="P147" vm="2329">
        <f ca="1"/>
        <v>183.03</v>
      </c>
      <c r="Q147" vm="2262">
        <f ca="1"/>
        <v>83.83</v>
      </c>
      <c r="R147" t="e">
        <f ca="1"/>
        <v>#N/A</v>
      </c>
    </row>
    <row r="148" spans="1:18" ht="20" customHeight="1" x14ac:dyDescent="0.2">
      <c r="A148" vm="2330">
        <f ca="1"/>
        <v>46171</v>
      </c>
      <c r="B148" vm="2331">
        <f ca="1"/>
        <v>376.43</v>
      </c>
      <c r="C148" vm="2332">
        <f ca="1"/>
        <v>109.53</v>
      </c>
      <c r="D148" vm="2333">
        <f ca="1"/>
        <v>315.70999999999998</v>
      </c>
      <c r="E148" vm="2289">
        <f ca="1"/>
        <v>93.74</v>
      </c>
      <c r="F148" vm="2334">
        <f ca="1"/>
        <v>79.010000000000005</v>
      </c>
      <c r="G148" vm="2147">
        <f ca="1"/>
        <v>9.1</v>
      </c>
      <c r="H148" vm="104">
        <f ca="1"/>
        <v>115.75</v>
      </c>
      <c r="I148" vm="2335">
        <f ca="1"/>
        <v>450.24</v>
      </c>
      <c r="J148" vm="2336">
        <f ca="1"/>
        <v>312.06</v>
      </c>
      <c r="K148" vm="2337">
        <f ca="1"/>
        <v>446.77</v>
      </c>
      <c r="L148" vm="2338">
        <f ca="1"/>
        <v>86.97</v>
      </c>
      <c r="M148" vm="2339">
        <f ca="1"/>
        <v>956.32</v>
      </c>
      <c r="N148" vm="2340">
        <f ca="1"/>
        <v>270.64</v>
      </c>
      <c r="O148" vm="2341">
        <f ca="1"/>
        <v>113.98</v>
      </c>
      <c r="P148" vm="2342">
        <f ca="1"/>
        <v>182.46</v>
      </c>
      <c r="Q148" vm="2343">
        <f ca="1"/>
        <v>84.12</v>
      </c>
      <c r="R148" t="e">
        <f ca="1"/>
        <v>#N/A</v>
      </c>
    </row>
    <row r="149" spans="1:18" ht="20" customHeight="1" x14ac:dyDescent="0.2">
      <c r="A149" vm="2344">
        <f ca="1"/>
        <v>46174</v>
      </c>
      <c r="B149" vm="2345">
        <f ca="1"/>
        <v>372.58</v>
      </c>
      <c r="C149" vm="1863">
        <f ca="1"/>
        <v>124.82</v>
      </c>
      <c r="D149" vm="2346">
        <f ca="1"/>
        <v>323.39</v>
      </c>
      <c r="E149" vm="2347">
        <f ca="1"/>
        <v>93.18</v>
      </c>
      <c r="F149" vm="2348">
        <f ca="1"/>
        <v>78.64</v>
      </c>
      <c r="G149" vm="2349">
        <f ca="1"/>
        <v>9.51</v>
      </c>
      <c r="H149" vm="2350">
        <f ca="1"/>
        <v>114.6</v>
      </c>
      <c r="I149" vm="2351">
        <f ca="1"/>
        <v>460.52</v>
      </c>
      <c r="J149" vm="2352">
        <f ca="1"/>
        <v>306.31</v>
      </c>
      <c r="K149" vm="2353">
        <f ca="1"/>
        <v>459.97</v>
      </c>
      <c r="L149" vm="397">
        <f ca="1"/>
        <v>88.69</v>
      </c>
      <c r="M149" vm="2354">
        <f ca="1"/>
        <v>946.11</v>
      </c>
      <c r="N149" vm="2355">
        <f ca="1"/>
        <v>261.26</v>
      </c>
      <c r="O149" vm="2356">
        <f ca="1"/>
        <v>115.58</v>
      </c>
      <c r="P149" vm="2357">
        <f ca="1"/>
        <v>185.83</v>
      </c>
      <c r="Q149" vm="2358">
        <f ca="1"/>
        <v>85.41</v>
      </c>
      <c r="R149" t="e">
        <f ca="1"/>
        <v>#N/A</v>
      </c>
    </row>
    <row r="150" spans="1:18" ht="20" customHeight="1" x14ac:dyDescent="0.2">
      <c r="A150" vm="2359">
        <f ca="1"/>
        <v>46175</v>
      </c>
      <c r="B150" vm="179">
        <f ca="1"/>
        <v>358.39</v>
      </c>
      <c r="C150" vm="2360">
        <f ca="1"/>
        <v>119.27</v>
      </c>
      <c r="D150" vm="2361">
        <f ca="1"/>
        <v>334.49</v>
      </c>
      <c r="E150" vm="2362">
        <f ca="1"/>
        <v>95.21</v>
      </c>
      <c r="F150" vm="2363">
        <f ca="1"/>
        <v>78.41</v>
      </c>
      <c r="G150" vm="2364">
        <f ca="1"/>
        <v>9.36</v>
      </c>
      <c r="H150" vm="2365">
        <f ca="1"/>
        <v>113.06</v>
      </c>
      <c r="I150" vm="2366">
        <f ca="1"/>
        <v>441.31</v>
      </c>
      <c r="J150" vm="2367">
        <f ca="1"/>
        <v>315.2</v>
      </c>
      <c r="K150" vm="2368">
        <f ca="1"/>
        <v>481.57</v>
      </c>
      <c r="L150" vm="266">
        <f ca="1"/>
        <v>88.72</v>
      </c>
      <c r="M150" vm="2369">
        <f ca="1"/>
        <v>954.27</v>
      </c>
      <c r="N150" vm="2370">
        <f ca="1"/>
        <v>256.52</v>
      </c>
      <c r="O150" vm="2371">
        <f ca="1"/>
        <v>116.87</v>
      </c>
      <c r="P150" vm="2372">
        <f ca="1"/>
        <v>187.55</v>
      </c>
      <c r="Q150" vm="2373">
        <f ca="1"/>
        <v>86.82</v>
      </c>
      <c r="R150" t="e">
        <f ca="1"/>
        <v>#N/A</v>
      </c>
    </row>
    <row r="151" spans="1:18" ht="20" customHeight="1" x14ac:dyDescent="0.2">
      <c r="A151" vm="2374">
        <f ca="1"/>
        <v>46176</v>
      </c>
      <c r="B151" vm="2375">
        <f ca="1"/>
        <v>355.68</v>
      </c>
      <c r="C151" vm="2376">
        <f ca="1"/>
        <v>110.93</v>
      </c>
      <c r="D151" vm="2377">
        <f ca="1"/>
        <v>331.44</v>
      </c>
      <c r="E151" vm="1751">
        <f ca="1"/>
        <v>93.64</v>
      </c>
      <c r="F151" vm="2020">
        <f ca="1"/>
        <v>78.760000000000005</v>
      </c>
      <c r="G151" vm="2378">
        <f ca="1"/>
        <v>9.42</v>
      </c>
      <c r="H151" vm="2379">
        <f ca="1"/>
        <v>116.89</v>
      </c>
      <c r="I151" vm="2380">
        <f ca="1"/>
        <v>427.34</v>
      </c>
      <c r="J151" vm="2381">
        <f ca="1"/>
        <v>310.26</v>
      </c>
      <c r="K151" vm="2382">
        <f ca="1"/>
        <v>479.23</v>
      </c>
      <c r="L151" vm="2383">
        <f ca="1"/>
        <v>87.15</v>
      </c>
      <c r="M151" vm="2384">
        <f ca="1"/>
        <v>961.83</v>
      </c>
      <c r="N151" vm="2385">
        <f ca="1"/>
        <v>250.02</v>
      </c>
      <c r="O151" vm="2386">
        <f ca="1"/>
        <v>119.05</v>
      </c>
      <c r="P151" vm="2387">
        <f ca="1"/>
        <v>189.71</v>
      </c>
      <c r="Q151" vm="2388">
        <f ca="1"/>
        <v>86.77</v>
      </c>
      <c r="R151" t="e">
        <f ca="1"/>
        <v>#N/A</v>
      </c>
    </row>
    <row r="152" spans="1:18" ht="20" customHeight="1" x14ac:dyDescent="0.2">
      <c r="A152" vm="2389">
        <f ca="1"/>
        <v>46177</v>
      </c>
      <c r="B152" vm="2390">
        <f ca="1"/>
        <v>369.27</v>
      </c>
      <c r="C152" vm="2391">
        <f ca="1"/>
        <v>108.03</v>
      </c>
      <c r="D152" vm="2392">
        <f ca="1"/>
        <v>323.92</v>
      </c>
      <c r="E152" vm="2393">
        <f ca="1"/>
        <v>92.62</v>
      </c>
      <c r="F152" vm="2394">
        <f ca="1"/>
        <v>76.819999999999993</v>
      </c>
      <c r="G152" vm="2395">
        <f ca="1"/>
        <v>9.18</v>
      </c>
      <c r="H152" vm="2396">
        <f ca="1"/>
        <v>117.74</v>
      </c>
      <c r="I152" vm="2397">
        <f ca="1"/>
        <v>428.05</v>
      </c>
      <c r="J152" vm="2398">
        <f ca="1"/>
        <v>311.23</v>
      </c>
      <c r="K152" vm="2399">
        <f ca="1"/>
        <v>418.91</v>
      </c>
      <c r="L152" vm="2400">
        <f ca="1"/>
        <v>87.06</v>
      </c>
      <c r="M152" vm="2401">
        <f ca="1"/>
        <v>972.35</v>
      </c>
      <c r="N152" vm="1697">
        <f ca="1"/>
        <v>253.79</v>
      </c>
      <c r="O152" vm="2402">
        <f ca="1"/>
        <v>119.23</v>
      </c>
      <c r="P152" vm="2403">
        <f ca="1"/>
        <v>188.35</v>
      </c>
      <c r="Q152" vm="2404">
        <f ca="1"/>
        <v>86.73</v>
      </c>
      <c r="R152" t="e">
        <f ca="1"/>
        <v>#N/A</v>
      </c>
    </row>
    <row r="153" spans="1:18" ht="20" customHeight="1" x14ac:dyDescent="0.2">
      <c r="A153" vm="2405">
        <f ca="1"/>
        <v>46178</v>
      </c>
      <c r="B153" vm="2406">
        <f ca="1"/>
        <v>365.76</v>
      </c>
      <c r="C153" vm="2407">
        <f ca="1"/>
        <v>100.39</v>
      </c>
      <c r="D153" vm="2408">
        <f ca="1"/>
        <v>300.51</v>
      </c>
      <c r="E153" vm="2409">
        <f ca="1"/>
        <v>90.8</v>
      </c>
      <c r="F153" vm="2410">
        <f ca="1"/>
        <v>79.48</v>
      </c>
      <c r="G153" vm="2411">
        <f ca="1"/>
        <v>8.7200000000000006</v>
      </c>
      <c r="H153" vm="2412">
        <f ca="1"/>
        <v>118.88</v>
      </c>
      <c r="I153" vm="2413">
        <f ca="1"/>
        <v>416.67</v>
      </c>
      <c r="J153" vm="1876">
        <f ca="1"/>
        <v>307.33999999999997</v>
      </c>
      <c r="K153" vm="2414">
        <f ca="1"/>
        <v>385.73</v>
      </c>
      <c r="L153" vm="2415">
        <f ca="1"/>
        <v>84.4</v>
      </c>
      <c r="M153" vm="2416">
        <f ca="1"/>
        <v>971.87</v>
      </c>
      <c r="N153" vm="2417">
        <f ca="1"/>
        <v>246.03</v>
      </c>
      <c r="O153" vm="2418">
        <f ca="1"/>
        <v>117.14</v>
      </c>
      <c r="P153" vm="2419">
        <f ca="1"/>
        <v>187.31</v>
      </c>
      <c r="Q153" vm="2420">
        <f ca="1"/>
        <v>85.4</v>
      </c>
      <c r="R153" t="e">
        <f ca="1"/>
        <v>#N/A</v>
      </c>
    </row>
    <row r="154" spans="1:18" ht="20" customHeight="1" x14ac:dyDescent="0.2">
      <c r="A154" vm="2421">
        <f ca="1"/>
        <v>46181</v>
      </c>
      <c r="B154" vm="2422">
        <f ca="1"/>
        <v>361.17</v>
      </c>
      <c r="C154" vm="2423">
        <f ca="1"/>
        <v>102.37</v>
      </c>
      <c r="D154" vm="2424">
        <f ca="1"/>
        <v>300.57</v>
      </c>
      <c r="E154" vm="2425">
        <f ca="1"/>
        <v>91.53</v>
      </c>
      <c r="F154" vm="2426">
        <f ca="1"/>
        <v>79.540000000000006</v>
      </c>
      <c r="G154" vm="2004">
        <f ca="1"/>
        <v>8.67</v>
      </c>
      <c r="H154" vm="2427">
        <f ca="1"/>
        <v>119.83</v>
      </c>
      <c r="I154" vm="2428">
        <f ca="1"/>
        <v>411.74</v>
      </c>
      <c r="J154" vm="2429">
        <f ca="1"/>
        <v>301.54000000000002</v>
      </c>
      <c r="K154" vm="2430">
        <f ca="1"/>
        <v>396.6</v>
      </c>
      <c r="L154" vm="2431">
        <f ca="1"/>
        <v>87.35</v>
      </c>
      <c r="M154" vm="2432">
        <f ca="1"/>
        <v>974.75</v>
      </c>
      <c r="N154" vm="2433">
        <f ca="1"/>
        <v>245.22</v>
      </c>
      <c r="O154" vm="2434">
        <f ca="1"/>
        <v>118.89</v>
      </c>
      <c r="P154" vm="2435">
        <f ca="1"/>
        <v>189.24</v>
      </c>
      <c r="Q154" vm="2436">
        <f ca="1"/>
        <v>86.65</v>
      </c>
      <c r="R154" t="e">
        <f ca="1"/>
        <v>#N/A</v>
      </c>
    </row>
    <row r="155" spans="1:18" ht="20" customHeight="1" x14ac:dyDescent="0.2">
      <c r="A155" vm="2437">
        <f ca="1"/>
        <v>46182</v>
      </c>
      <c r="B155" vm="2438">
        <f ca="1"/>
        <v>362.29</v>
      </c>
      <c r="C155" vm="1002">
        <f ca="1"/>
        <v>98.45</v>
      </c>
      <c r="D155" vm="2439">
        <f ca="1"/>
        <v>289.52</v>
      </c>
      <c r="E155" vm="2440">
        <f ca="1"/>
        <v>89.34</v>
      </c>
      <c r="F155" vm="2441">
        <f ca="1"/>
        <v>81.34</v>
      </c>
      <c r="G155" vm="2083">
        <f ca="1"/>
        <v>8.61</v>
      </c>
      <c r="H155" vm="2412">
        <f ca="1"/>
        <v>118.88</v>
      </c>
      <c r="I155" vm="2442">
        <f ca="1"/>
        <v>403.41</v>
      </c>
      <c r="J155" vm="2443">
        <f ca="1"/>
        <v>290.55</v>
      </c>
      <c r="K155" vm="2444">
        <f ca="1"/>
        <v>392.16</v>
      </c>
      <c r="L155" vm="2445">
        <f ca="1"/>
        <v>86.33</v>
      </c>
      <c r="M155" vm="2446">
        <f ca="1"/>
        <v>968.59</v>
      </c>
      <c r="N155" vm="2447">
        <f ca="1"/>
        <v>244.19</v>
      </c>
      <c r="O155" vm="569">
        <f ca="1"/>
        <v>116.79</v>
      </c>
      <c r="P155" vm="1360">
        <f ca="1"/>
        <v>186.76</v>
      </c>
      <c r="Q155" vm="205">
        <f ca="1"/>
        <v>85.43</v>
      </c>
      <c r="R155" t="e">
        <f ca="1"/>
        <v>#N/A</v>
      </c>
    </row>
    <row r="156" spans="1:18" ht="20" customHeight="1" x14ac:dyDescent="0.2">
      <c r="A156" vm="2448">
        <f ca="1"/>
        <v>46183</v>
      </c>
      <c r="B156" vm="2449">
        <f ca="1"/>
        <v>353.32</v>
      </c>
      <c r="C156" vm="2450">
        <f ca="1"/>
        <v>95.61</v>
      </c>
      <c r="D156" vm="2451">
        <f ca="1"/>
        <v>280.98</v>
      </c>
      <c r="E156" vm="2452">
        <f ca="1"/>
        <v>86.16</v>
      </c>
      <c r="F156" vm="2453">
        <f ca="1"/>
        <v>83.59</v>
      </c>
      <c r="G156" vm="2454">
        <f ca="1"/>
        <v>8.3800000000000008</v>
      </c>
      <c r="H156" vm="2455">
        <f ca="1"/>
        <v>120.59</v>
      </c>
      <c r="I156" vm="2456">
        <f ca="1"/>
        <v>397.36</v>
      </c>
      <c r="J156" vm="2457">
        <f ca="1"/>
        <v>291.58</v>
      </c>
      <c r="K156" vm="2458">
        <f ca="1"/>
        <v>372.1</v>
      </c>
      <c r="L156" vm="2459">
        <f ca="1"/>
        <v>85.42</v>
      </c>
      <c r="M156" vm="2460">
        <f ca="1"/>
        <v>983.37</v>
      </c>
      <c r="N156" vm="2461">
        <f ca="1"/>
        <v>238</v>
      </c>
      <c r="O156" vm="2462">
        <f ca="1"/>
        <v>119.92</v>
      </c>
      <c r="P156" vm="2463">
        <f ca="1"/>
        <v>189.8</v>
      </c>
      <c r="Q156" vm="2464">
        <f ca="1"/>
        <v>86.05</v>
      </c>
      <c r="R156" t="e">
        <f ca="1"/>
        <v>#N/A</v>
      </c>
    </row>
    <row r="157" spans="1:18" ht="20" customHeight="1" x14ac:dyDescent="0.2">
      <c r="A157" vm="2465">
        <f ca="1"/>
        <v>46184</v>
      </c>
      <c r="B157" vm="2466">
        <f ca="1"/>
        <v>356.56</v>
      </c>
      <c r="C157" vm="2467">
        <f ca="1"/>
        <v>95.74</v>
      </c>
      <c r="D157" vm="2468">
        <f ca="1"/>
        <v>297.88</v>
      </c>
      <c r="E157" vm="1151">
        <f ca="1"/>
        <v>90.72</v>
      </c>
      <c r="F157" vm="915">
        <f ca="1"/>
        <v>82.53</v>
      </c>
      <c r="G157" vm="2469">
        <f ca="1"/>
        <v>8.56</v>
      </c>
      <c r="H157" vm="2470">
        <f ca="1"/>
        <v>120.5</v>
      </c>
      <c r="I157" vm="2471">
        <f ca="1"/>
        <v>390.34</v>
      </c>
      <c r="J157" vm="2472">
        <f ca="1"/>
        <v>295.63</v>
      </c>
      <c r="K157" vm="2473">
        <f ca="1"/>
        <v>385.57</v>
      </c>
      <c r="L157" vm="2474">
        <f ca="1"/>
        <v>88.83</v>
      </c>
      <c r="M157" vm="2475">
        <f ca="1"/>
        <v>975.69</v>
      </c>
      <c r="N157" vm="2476">
        <f ca="1"/>
        <v>241.51</v>
      </c>
      <c r="O157" vm="2477">
        <f ca="1"/>
        <v>115.36</v>
      </c>
      <c r="P157" vm="1193">
        <f ca="1"/>
        <v>185.82</v>
      </c>
      <c r="Q157" vm="2478">
        <f ca="1"/>
        <v>85.85</v>
      </c>
      <c r="R157" t="e">
        <f ca="1"/>
        <v>#N/A</v>
      </c>
    </row>
    <row r="158" spans="1:18" ht="20" customHeight="1" x14ac:dyDescent="0.2">
      <c r="A158" vm="2479">
        <f ca="1"/>
        <v>46185</v>
      </c>
      <c r="B158" vm="2480">
        <f ca="1"/>
        <v>358.16</v>
      </c>
      <c r="C158" vm="2481">
        <f ca="1"/>
        <v>100.55</v>
      </c>
      <c r="D158" vm="2482">
        <f ca="1"/>
        <v>302.87</v>
      </c>
      <c r="E158" vm="2483">
        <f ca="1"/>
        <v>92.67</v>
      </c>
      <c r="F158" vm="2484">
        <f ca="1"/>
        <v>82.62</v>
      </c>
      <c r="G158" vm="2469">
        <f ca="1"/>
        <v>8.56</v>
      </c>
      <c r="H158" vm="2485">
        <f ca="1"/>
        <v>121.04</v>
      </c>
      <c r="I158" vm="2486">
        <f ca="1"/>
        <v>390.74</v>
      </c>
      <c r="J158" vm="2487">
        <f ca="1"/>
        <v>291.13</v>
      </c>
      <c r="K158" vm="2488">
        <f ca="1"/>
        <v>382.07</v>
      </c>
      <c r="L158" vm="2489">
        <f ca="1"/>
        <v>90.81</v>
      </c>
      <c r="M158" vm="2490">
        <f ca="1"/>
        <v>982.35</v>
      </c>
      <c r="N158" vm="2491">
        <f ca="1"/>
        <v>238.55</v>
      </c>
      <c r="O158" vm="2492">
        <f ca="1"/>
        <v>116.98</v>
      </c>
      <c r="P158" vm="2493">
        <f ca="1"/>
        <v>187.22</v>
      </c>
      <c r="Q158" vm="149">
        <f ca="1"/>
        <v>85.66</v>
      </c>
      <c r="R158" vm="2494">
        <f ca="1"/>
        <v>160.94999999999999</v>
      </c>
    </row>
    <row r="159" spans="1:18" ht="20" customHeight="1" x14ac:dyDescent="0.2">
      <c r="A159" vm="2495">
        <f ca="1"/>
        <v>46188</v>
      </c>
      <c r="B159" vm="2496">
        <f ca="1"/>
        <v>367.11</v>
      </c>
      <c r="C159" vm="2497">
        <f ca="1"/>
        <v>106.71</v>
      </c>
      <c r="D159" vm="2498">
        <f ca="1"/>
        <v>311.93</v>
      </c>
      <c r="E159" vm="2499">
        <f ca="1"/>
        <v>92.92</v>
      </c>
      <c r="F159" vm="2500">
        <f ca="1"/>
        <v>80.91</v>
      </c>
      <c r="G159" t="e">
        <f ca="1"/>
        <v>#N/A</v>
      </c>
      <c r="H159" vm="2501">
        <f ca="1"/>
        <v>120.82</v>
      </c>
      <c r="I159" vm="2502">
        <f ca="1"/>
        <v>399.76</v>
      </c>
      <c r="J159" vm="2503">
        <f ca="1"/>
        <v>296.42</v>
      </c>
      <c r="K159" vm="2504">
        <f ca="1"/>
        <v>393.94</v>
      </c>
      <c r="L159" vm="2505">
        <f ca="1"/>
        <v>92.76</v>
      </c>
      <c r="M159" vm="2506">
        <f ca="1"/>
        <v>979.45</v>
      </c>
      <c r="N159" vm="2507">
        <f ca="1"/>
        <v>246.02</v>
      </c>
      <c r="O159" vm="2508">
        <f ca="1"/>
        <v>112.26</v>
      </c>
      <c r="P159" vm="2509">
        <f ca="1"/>
        <v>180.4</v>
      </c>
      <c r="Q159" vm="2510">
        <f ca="1"/>
        <v>82.61</v>
      </c>
      <c r="R159" vm="2511">
        <f ca="1"/>
        <v>192.5</v>
      </c>
    </row>
    <row r="160" spans="1:18" ht="20" customHeight="1" x14ac:dyDescent="0.2">
      <c r="A160" vm="2512">
        <f ca="1"/>
        <v>46189</v>
      </c>
      <c r="B160" vm="2513">
        <f ca="1"/>
        <v>371.1</v>
      </c>
      <c r="C160" vm="1451">
        <f ca="1"/>
        <v>117.03</v>
      </c>
      <c r="D160" vm="2514">
        <f ca="1"/>
        <v>299.60000000000002</v>
      </c>
      <c r="E160" vm="2515">
        <f ca="1"/>
        <v>94.45</v>
      </c>
      <c r="F160" vm="2516">
        <f ca="1"/>
        <v>80.28</v>
      </c>
      <c r="G160" vm="2517">
        <f ca="1"/>
        <v>8.7100000000000009</v>
      </c>
      <c r="H160" vm="2518">
        <f ca="1"/>
        <v>121.03</v>
      </c>
      <c r="I160" vm="2519">
        <f ca="1"/>
        <v>393.83</v>
      </c>
      <c r="J160" vm="2520">
        <f ca="1"/>
        <v>299.24</v>
      </c>
      <c r="K160" vm="2521">
        <f ca="1"/>
        <v>376.71</v>
      </c>
      <c r="L160" vm="1735">
        <f ca="1"/>
        <v>93.1</v>
      </c>
      <c r="M160" vm="2522">
        <f ca="1"/>
        <v>986.68</v>
      </c>
      <c r="N160" vm="2523">
        <f ca="1"/>
        <v>246</v>
      </c>
      <c r="O160" vm="2524">
        <f ca="1"/>
        <v>111.34</v>
      </c>
      <c r="P160" vm="2525">
        <f ca="1"/>
        <v>180.11</v>
      </c>
      <c r="Q160" vm="2526">
        <f ca="1"/>
        <v>82.25</v>
      </c>
      <c r="R160" vm="2527">
        <f ca="1"/>
        <v>201.8</v>
      </c>
    </row>
    <row r="161" spans="1:18" ht="20" customHeight="1" x14ac:dyDescent="0.2">
      <c r="A161" vm="2528">
        <f ca="1"/>
        <v>46190</v>
      </c>
      <c r="B161" vm="2529">
        <f ca="1"/>
        <v>362.1</v>
      </c>
      <c r="C161" vm="2530">
        <f ca="1"/>
        <v>115.21</v>
      </c>
      <c r="D161" vm="2531">
        <f ca="1"/>
        <v>317.58</v>
      </c>
      <c r="E161" vm="2532">
        <f ca="1"/>
        <v>95.23</v>
      </c>
      <c r="F161" vm="2533">
        <f ca="1"/>
        <v>79.930000000000007</v>
      </c>
      <c r="G161" vm="2083">
        <f ca="1"/>
        <v>8.61</v>
      </c>
      <c r="H161" vm="2534">
        <f ca="1"/>
        <v>118.13</v>
      </c>
      <c r="I161" vm="2535">
        <f ca="1"/>
        <v>378.91</v>
      </c>
      <c r="J161" vm="2536">
        <f ca="1"/>
        <v>295.95</v>
      </c>
      <c r="K161" vm="2537">
        <f ca="1"/>
        <v>392.9</v>
      </c>
      <c r="L161" vm="2538">
        <f ca="1"/>
        <v>95.09</v>
      </c>
      <c r="M161" vm="2539">
        <f ca="1"/>
        <v>965.59</v>
      </c>
      <c r="N161" vm="2540">
        <f ca="1"/>
        <v>237.5</v>
      </c>
      <c r="O161" vm="1192">
        <f ca="1"/>
        <v>111.21</v>
      </c>
      <c r="P161" vm="2541">
        <f ca="1"/>
        <v>177.58</v>
      </c>
      <c r="Q161" vm="1270">
        <f ca="1"/>
        <v>80.38</v>
      </c>
      <c r="R161" vm="2542">
        <f ca="1"/>
        <v>191.82</v>
      </c>
    </row>
    <row r="162" spans="1:18" ht="20" customHeight="1" x14ac:dyDescent="0.2">
      <c r="A162" vm="2543">
        <f ca="1"/>
        <v>46191</v>
      </c>
      <c r="B162" vm="2544">
        <f ca="1"/>
        <v>367.46</v>
      </c>
      <c r="C162" vm="2545">
        <f ca="1"/>
        <v>117.95</v>
      </c>
      <c r="D162" vm="2546">
        <f ca="1"/>
        <v>333.05</v>
      </c>
      <c r="E162" vm="2547">
        <f ca="1"/>
        <v>94.97</v>
      </c>
      <c r="F162" vm="2548">
        <f ca="1"/>
        <v>79.39</v>
      </c>
      <c r="G162" vm="2549">
        <f ca="1"/>
        <v>8.82</v>
      </c>
      <c r="H162" vm="2550">
        <f ca="1"/>
        <v>117.18</v>
      </c>
      <c r="I162" vm="2551">
        <f ca="1"/>
        <v>379.4</v>
      </c>
      <c r="J162" vm="2552">
        <f ca="1"/>
        <v>298.01</v>
      </c>
      <c r="K162" vm="2553">
        <f ca="1"/>
        <v>411.35</v>
      </c>
      <c r="L162" vm="2554">
        <f ca="1"/>
        <v>96</v>
      </c>
      <c r="M162" vm="2555">
        <f ca="1"/>
        <v>951.45</v>
      </c>
      <c r="N162" vm="2556">
        <f ca="1"/>
        <v>244.39</v>
      </c>
      <c r="O162" vm="2557">
        <f ca="1"/>
        <v>107.74</v>
      </c>
      <c r="P162" vm="2558">
        <f ca="1"/>
        <v>173.63</v>
      </c>
      <c r="Q162" vm="2559">
        <f ca="1"/>
        <v>78.81</v>
      </c>
      <c r="R162" vm="2560">
        <f ca="1"/>
        <v>185</v>
      </c>
    </row>
    <row r="163" spans="1:18" ht="20" customHeight="1" x14ac:dyDescent="0.2">
      <c r="A163" vm="2561">
        <f ca="1"/>
        <v>46195</v>
      </c>
      <c r="B163" vm="2562">
        <f ca="1"/>
        <v>348.78</v>
      </c>
      <c r="C163" vm="2563">
        <f ca="1"/>
        <v>111.29</v>
      </c>
      <c r="D163" vm="2564">
        <f ca="1"/>
        <v>357.96</v>
      </c>
      <c r="E163" vm="2565">
        <f ca="1"/>
        <v>96.51</v>
      </c>
      <c r="F163" vm="2566">
        <f ca="1"/>
        <v>79.53</v>
      </c>
      <c r="G163" vm="2567">
        <f ca="1"/>
        <v>8.77</v>
      </c>
      <c r="H163" vm="2550">
        <f ca="1"/>
        <v>117.18</v>
      </c>
      <c r="I163" vm="2568">
        <f ca="1"/>
        <v>367.34</v>
      </c>
      <c r="J163" vm="2569">
        <f ca="1"/>
        <v>297.01</v>
      </c>
      <c r="K163" vm="2570">
        <f ca="1"/>
        <v>392.13</v>
      </c>
      <c r="L163" vm="2571">
        <f ca="1"/>
        <v>96.82</v>
      </c>
      <c r="M163" vm="2572">
        <f ca="1"/>
        <v>951.35</v>
      </c>
      <c r="N163" vm="2573">
        <f ca="1"/>
        <v>232.79</v>
      </c>
      <c r="O163" vm="2574">
        <f ca="1"/>
        <v>109.7</v>
      </c>
      <c r="P163" vm="2575">
        <f ca="1"/>
        <v>175.06</v>
      </c>
      <c r="Q163" vm="2576">
        <f ca="1"/>
        <v>79.66</v>
      </c>
      <c r="R163" vm="2577">
        <f ca="1"/>
        <v>154.6</v>
      </c>
    </row>
    <row r="164" spans="1:18" ht="20" customHeight="1" x14ac:dyDescent="0.2">
      <c r="A164" vm="2578">
        <f ca="1"/>
        <v>46196</v>
      </c>
      <c r="B164" vm="2579">
        <f ca="1"/>
        <v>346.08</v>
      </c>
      <c r="C164" vm="2580">
        <f ca="1"/>
        <v>105.72</v>
      </c>
      <c r="D164" vm="2581">
        <f ca="1"/>
        <v>318.32</v>
      </c>
      <c r="E164" vm="2582">
        <f ca="1"/>
        <v>95.59</v>
      </c>
      <c r="F164" vm="1519">
        <f ca="1"/>
        <v>80.31</v>
      </c>
      <c r="G164" vm="2454">
        <f ca="1"/>
        <v>8.3800000000000008</v>
      </c>
      <c r="H164" vm="2583">
        <f ca="1"/>
        <v>119.42</v>
      </c>
      <c r="I164" vm="2584">
        <f ca="1"/>
        <v>373.94</v>
      </c>
      <c r="J164" vm="2585">
        <f ca="1"/>
        <v>294.3</v>
      </c>
      <c r="K164" vm="2586">
        <f ca="1"/>
        <v>380.15</v>
      </c>
      <c r="L164" vm="2587">
        <f ca="1"/>
        <v>94.7</v>
      </c>
      <c r="M164" vm="2588">
        <f ca="1"/>
        <v>957.68</v>
      </c>
      <c r="N164" vm="2589">
        <f ca="1"/>
        <v>234.11</v>
      </c>
      <c r="O164" vm="2590">
        <f ca="1"/>
        <v>109.97</v>
      </c>
      <c r="P164" vm="2591">
        <f ca="1"/>
        <v>175.98</v>
      </c>
      <c r="Q164" vm="2592">
        <f ca="1"/>
        <v>79.510000000000005</v>
      </c>
      <c r="R164" vm="2593">
        <f ca="1"/>
        <v>156.11000000000001</v>
      </c>
    </row>
    <row r="165" spans="1:18" ht="20" customHeight="1" x14ac:dyDescent="0.2">
      <c r="A165" vm="2594">
        <f ca="1"/>
        <v>46197</v>
      </c>
      <c r="B165" vm="2595">
        <f ca="1"/>
        <v>345.04</v>
      </c>
      <c r="C165" vm="2596">
        <f ca="1"/>
        <v>100.88</v>
      </c>
      <c r="D165" vm="2597">
        <f ca="1"/>
        <v>316.43</v>
      </c>
      <c r="E165" vm="2598">
        <f ca="1"/>
        <v>93.85</v>
      </c>
      <c r="F165" vm="2599">
        <f ca="1"/>
        <v>80.599999999999994</v>
      </c>
      <c r="G165" vm="1041">
        <f ca="1"/>
        <v>8.2899999999999991</v>
      </c>
      <c r="H165" vm="2600">
        <f ca="1"/>
        <v>119</v>
      </c>
      <c r="I165" vm="2601">
        <f ca="1"/>
        <v>365.46</v>
      </c>
      <c r="J165" vm="2602">
        <f ca="1"/>
        <v>293.08</v>
      </c>
      <c r="K165" vm="2488">
        <f ca="1"/>
        <v>382.07</v>
      </c>
      <c r="L165" vm="2603">
        <f ca="1"/>
        <v>92.79</v>
      </c>
      <c r="M165" vm="2604">
        <f ca="1"/>
        <v>961.09</v>
      </c>
      <c r="N165" vm="2605">
        <f ca="1"/>
        <v>234.27</v>
      </c>
      <c r="O165" vm="2606">
        <f ca="1"/>
        <v>106.92</v>
      </c>
      <c r="P165" vm="2607">
        <f ca="1"/>
        <v>171.45</v>
      </c>
      <c r="Q165" vm="2608">
        <f ca="1"/>
        <v>77.7</v>
      </c>
      <c r="R165" vm="2609">
        <f ca="1"/>
        <v>154.54</v>
      </c>
    </row>
    <row r="166" spans="1:18" ht="20" customHeight="1" x14ac:dyDescent="0.2">
      <c r="A166" vm="2610">
        <f ca="1"/>
        <v>46198</v>
      </c>
      <c r="B166" vm="2611">
        <f ca="1"/>
        <v>342.19</v>
      </c>
      <c r="C166" vm="2612">
        <f ca="1"/>
        <v>98.76</v>
      </c>
      <c r="D166" vm="2613">
        <f ca="1"/>
        <v>325.57</v>
      </c>
      <c r="E166" vm="2614">
        <f ca="1"/>
        <v>95.06</v>
      </c>
      <c r="F166" vm="2615">
        <f ca="1"/>
        <v>80.42</v>
      </c>
      <c r="G166" vm="2616">
        <f ca="1"/>
        <v>8.15</v>
      </c>
      <c r="H166" vm="2617">
        <f ca="1"/>
        <v>115.78</v>
      </c>
      <c r="I166" vm="2618">
        <f ca="1"/>
        <v>352.83</v>
      </c>
      <c r="J166" vm="2619">
        <f ca="1"/>
        <v>275.14999999999998</v>
      </c>
      <c r="K166" vm="2535">
        <f ca="1"/>
        <v>378.91</v>
      </c>
      <c r="L166" vm="1657">
        <f ca="1"/>
        <v>92.16</v>
      </c>
      <c r="M166" vm="2620">
        <f ca="1"/>
        <v>942.24</v>
      </c>
      <c r="N166" vm="2621">
        <f ca="1"/>
        <v>227.01</v>
      </c>
      <c r="O166" vm="2622">
        <f ca="1"/>
        <v>106.41</v>
      </c>
      <c r="P166" vm="2623">
        <f ca="1"/>
        <v>172.24</v>
      </c>
      <c r="Q166" vm="2624">
        <f ca="1"/>
        <v>77.33</v>
      </c>
      <c r="R166" vm="2625">
        <f ca="1"/>
        <v>153</v>
      </c>
    </row>
    <row r="167" spans="1:18" ht="20" customHeight="1" x14ac:dyDescent="0.2">
      <c r="A167" vm="2626">
        <f ca="1"/>
        <v>46199</v>
      </c>
      <c r="B167" vm="2627">
        <f ca="1"/>
        <v>334.69</v>
      </c>
      <c r="C167" vm="2628">
        <f ca="1"/>
        <v>96.58</v>
      </c>
      <c r="D167" vm="2629">
        <f ca="1"/>
        <v>303.95</v>
      </c>
      <c r="E167" vm="2630">
        <f ca="1"/>
        <v>93.75</v>
      </c>
      <c r="F167" vm="2631">
        <f ca="1"/>
        <v>82.63</v>
      </c>
      <c r="G167" vm="2632">
        <f ca="1"/>
        <v>8.08</v>
      </c>
      <c r="H167" vm="2633">
        <f ca="1"/>
        <v>115.69</v>
      </c>
      <c r="I167" vm="28">
        <f ca="1"/>
        <v>372.97</v>
      </c>
      <c r="J167" vm="2634">
        <f ca="1"/>
        <v>283.77999999999997</v>
      </c>
      <c r="K167" vm="2635">
        <f ca="1"/>
        <v>365.02</v>
      </c>
      <c r="L167" vm="2636">
        <f ca="1"/>
        <v>89.82</v>
      </c>
      <c r="M167" vm="2637">
        <f ca="1"/>
        <v>952.54</v>
      </c>
      <c r="N167" vm="2638">
        <f ca="1"/>
        <v>232.69</v>
      </c>
      <c r="O167" vm="2639">
        <f ca="1"/>
        <v>105.96</v>
      </c>
      <c r="P167" vm="2640">
        <f ca="1"/>
        <v>171.06</v>
      </c>
      <c r="Q167" vm="2641">
        <f ca="1"/>
        <v>76.53</v>
      </c>
      <c r="R167" vm="2642">
        <f ca="1"/>
        <v>153.22999999999999</v>
      </c>
    </row>
    <row r="168" spans="1:18" ht="20" customHeight="1" x14ac:dyDescent="0.2">
      <c r="A168" vm="2643">
        <f ca="1"/>
        <v>46202</v>
      </c>
      <c r="B168" vm="2644">
        <f ca="1"/>
        <v>351.28</v>
      </c>
      <c r="C168" vm="2645">
        <f ca="1"/>
        <v>95.51</v>
      </c>
      <c r="D168" vm="2646">
        <f ca="1"/>
        <v>306.97000000000003</v>
      </c>
      <c r="E168" vm="2647">
        <f ca="1"/>
        <v>95.08</v>
      </c>
      <c r="F168" vm="2648">
        <f ca="1"/>
        <v>82.65</v>
      </c>
      <c r="G168" vm="2616">
        <f ca="1"/>
        <v>8.15</v>
      </c>
      <c r="H168" vm="2350">
        <f ca="1"/>
        <v>114.6</v>
      </c>
      <c r="I168" vm="2649">
        <f ca="1"/>
        <v>368.57</v>
      </c>
      <c r="J168" vm="2650">
        <f ca="1"/>
        <v>281.74</v>
      </c>
      <c r="K168" vm="2651">
        <f ca="1"/>
        <v>372.45</v>
      </c>
      <c r="L168" vm="2652">
        <f ca="1"/>
        <v>88.2</v>
      </c>
      <c r="M168" vm="2653">
        <f ca="1"/>
        <v>946.68</v>
      </c>
      <c r="N168" vm="2654">
        <f ca="1"/>
        <v>240.14</v>
      </c>
      <c r="O168" vm="2655">
        <f ca="1"/>
        <v>104.2</v>
      </c>
      <c r="P168" vm="2656">
        <f ca="1"/>
        <v>168.47</v>
      </c>
      <c r="Q168" vm="1090">
        <f ca="1"/>
        <v>76.89</v>
      </c>
      <c r="R168" vm="2657">
        <f ca="1"/>
        <v>164.19</v>
      </c>
    </row>
    <row r="169" spans="1:18" ht="20" customHeight="1" x14ac:dyDescent="0.2">
      <c r="A169" vm="2658">
        <f ca="1"/>
        <v>46203</v>
      </c>
      <c r="B169" vm="2659">
        <f ca="1"/>
        <v>353.33</v>
      </c>
      <c r="C169" vm="2660">
        <f ca="1"/>
        <v>99.54</v>
      </c>
      <c r="D169" vm="2661">
        <f ca="1"/>
        <v>334.82</v>
      </c>
      <c r="E169" vm="2538">
        <f ca="1"/>
        <v>95.09</v>
      </c>
      <c r="F169" vm="2662">
        <f ca="1"/>
        <v>81.27</v>
      </c>
      <c r="G169" vm="2663">
        <f ca="1"/>
        <v>8.33</v>
      </c>
      <c r="H169" vm="2664">
        <f ca="1"/>
        <v>113.26</v>
      </c>
      <c r="I169" vm="2665">
        <f ca="1"/>
        <v>373.02</v>
      </c>
      <c r="J169" vm="2666">
        <f ca="1"/>
        <v>289.36</v>
      </c>
      <c r="K169" vm="2667">
        <f ca="1"/>
        <v>377.75</v>
      </c>
      <c r="L169" vm="2088">
        <f ca="1"/>
        <v>87.04</v>
      </c>
      <c r="M169" vm="2668">
        <f ca="1"/>
        <v>935.47</v>
      </c>
      <c r="N169" vm="2669">
        <f ca="1"/>
        <v>238.34</v>
      </c>
      <c r="O169" vm="2670">
        <f ca="1"/>
        <v>103.96</v>
      </c>
      <c r="P169" vm="2671">
        <f ca="1"/>
        <v>165.76</v>
      </c>
      <c r="Q169" vm="2672">
        <f ca="1"/>
        <v>77.540000000000006</v>
      </c>
      <c r="R169" vm="881">
        <f ca="1"/>
        <v>170.86</v>
      </c>
    </row>
    <row r="170" spans="1:18" ht="20" customHeight="1" x14ac:dyDescent="0.2">
      <c r="A170" vm="2673">
        <f ca="1"/>
        <v>46204</v>
      </c>
      <c r="B170" vm="2674">
        <f ca="1"/>
        <v>357.89</v>
      </c>
      <c r="C170" vm="2675">
        <f ca="1"/>
        <v>85.685000000000002</v>
      </c>
      <c r="D170" vm="2676">
        <f ca="1"/>
        <v>311.42</v>
      </c>
      <c r="E170" vm="2677">
        <f ca="1"/>
        <v>95.81</v>
      </c>
      <c r="F170" vm="2678">
        <f ca="1"/>
        <v>81.290000000000006</v>
      </c>
      <c r="G170" vm="2679">
        <f ca="1"/>
        <v>8.5</v>
      </c>
      <c r="H170" vm="2680">
        <f ca="1"/>
        <v>108.82</v>
      </c>
      <c r="I170" vm="2681">
        <f ca="1"/>
        <v>384.28</v>
      </c>
      <c r="J170" vm="2682">
        <f ca="1"/>
        <v>294.38</v>
      </c>
      <c r="K170" vm="2683">
        <f ca="1"/>
        <v>369.34</v>
      </c>
      <c r="L170" vm="2684">
        <f ca="1"/>
        <v>93.25</v>
      </c>
      <c r="M170" vm="2685">
        <f ca="1"/>
        <v>924.67</v>
      </c>
      <c r="N170" vm="2686">
        <f ca="1"/>
        <v>241.7</v>
      </c>
      <c r="O170" vm="2687">
        <f ca="1"/>
        <v>103.22</v>
      </c>
      <c r="P170" vm="2688">
        <f ca="1"/>
        <v>165.69</v>
      </c>
      <c r="Q170" vm="2689">
        <f ca="1"/>
        <v>76.569999999999993</v>
      </c>
      <c r="R170" vm="2690">
        <f ca="1"/>
        <v>157.54</v>
      </c>
    </row>
    <row r="171" spans="1:18" ht="20" customHeight="1" x14ac:dyDescent="0.2">
      <c r="A171" vm="2691">
        <f ca="1"/>
        <v>46205</v>
      </c>
      <c r="B171" vm="2692">
        <f ca="1"/>
        <v>356.18</v>
      </c>
      <c r="C171" vm="2693">
        <f ca="1"/>
        <v>81.745000000000005</v>
      </c>
      <c r="D171" vm="2694">
        <f ca="1"/>
        <v>300.52999999999997</v>
      </c>
      <c r="E171" vm="2695">
        <f ca="1"/>
        <v>96.78</v>
      </c>
      <c r="F171" vm="2696">
        <f ca="1"/>
        <v>84.14</v>
      </c>
      <c r="G171" vm="1041">
        <f ca="1"/>
        <v>8.2899999999999991</v>
      </c>
      <c r="H171" vm="2697">
        <f ca="1"/>
        <v>111.84</v>
      </c>
      <c r="I171" vm="2698">
        <f ca="1"/>
        <v>390.49</v>
      </c>
      <c r="J171" vm="2699">
        <f ca="1"/>
        <v>308.63</v>
      </c>
      <c r="K171" vm="2700">
        <f ca="1"/>
        <v>360.45</v>
      </c>
      <c r="L171" vm="2701">
        <f ca="1"/>
        <v>91.33</v>
      </c>
      <c r="M171" vm="2702">
        <f ca="1"/>
        <v>951.67</v>
      </c>
      <c r="N171" vm="2703">
        <f ca="1"/>
        <v>242.67</v>
      </c>
      <c r="O171" vm="2704">
        <f ca="1"/>
        <v>104.73</v>
      </c>
      <c r="P171" vm="2705">
        <f ca="1"/>
        <v>169.2</v>
      </c>
      <c r="Q171" vm="2706">
        <f ca="1"/>
        <v>78.02</v>
      </c>
      <c r="R171" vm="2707">
        <f ca="1"/>
        <v>162</v>
      </c>
    </row>
    <row r="172" spans="1:18" ht="20" customHeight="1" x14ac:dyDescent="0.2">
      <c r="A172" vm="2708">
        <f ca="1"/>
        <v>46209</v>
      </c>
      <c r="B172" vm="2709">
        <f ca="1"/>
        <v>364.9</v>
      </c>
      <c r="C172" vm="2710">
        <f ca="1"/>
        <v>86.46</v>
      </c>
      <c r="D172" vm="336">
        <f ca="1"/>
        <v>318.47000000000003</v>
      </c>
      <c r="E172" vm="2711">
        <f ca="1"/>
        <v>98.74</v>
      </c>
      <c r="F172" vm="2712">
        <f ca="1"/>
        <v>82.96</v>
      </c>
      <c r="G172" vm="175">
        <f ca="1"/>
        <v>8.25</v>
      </c>
      <c r="H172" vm="2713">
        <f ca="1"/>
        <v>110.65</v>
      </c>
      <c r="I172" vm="2714">
        <f ca="1"/>
        <v>386.74</v>
      </c>
      <c r="J172" vm="2715">
        <f ca="1"/>
        <v>312.66000000000003</v>
      </c>
      <c r="K172" vm="2716">
        <f ca="1"/>
        <v>373.9</v>
      </c>
      <c r="L172" vm="2717">
        <f ca="1"/>
        <v>95.99</v>
      </c>
      <c r="M172" vm="2718">
        <f ca="1"/>
        <v>950.25</v>
      </c>
      <c r="N172" vm="2719">
        <f ca="1"/>
        <v>244.16</v>
      </c>
      <c r="O172" vm="2720">
        <f ca="1"/>
        <v>103.58</v>
      </c>
      <c r="P172" vm="2721">
        <f ca="1"/>
        <v>168.1</v>
      </c>
      <c r="Q172" vm="2722">
        <f ca="1"/>
        <v>78.14</v>
      </c>
      <c r="R172" vm="2723">
        <f ca="1"/>
        <v>160.41999999999999</v>
      </c>
    </row>
    <row r="173" spans="1:18" ht="20" customHeight="1" x14ac:dyDescent="0.2">
      <c r="A173" vm="2724">
        <f ca="1"/>
        <v>46210</v>
      </c>
      <c r="B173" vm="2725">
        <f ca="1"/>
        <v>363.62</v>
      </c>
      <c r="C173" vm="2726">
        <f ca="1"/>
        <v>83.53</v>
      </c>
      <c r="D173" vm="2727">
        <f ca="1"/>
        <v>305.58</v>
      </c>
      <c r="E173" vm="2728">
        <f ca="1"/>
        <v>97.4</v>
      </c>
      <c r="F173" vm="1428">
        <f ca="1"/>
        <v>84.05</v>
      </c>
      <c r="G173" vm="2729">
        <f ca="1"/>
        <v>8.23</v>
      </c>
      <c r="H173" vm="2730">
        <f ca="1"/>
        <v>111.54</v>
      </c>
      <c r="I173" vm="2731">
        <f ca="1"/>
        <v>388.84</v>
      </c>
      <c r="J173" vm="2732">
        <f ca="1"/>
        <v>310.66000000000003</v>
      </c>
      <c r="K173" vm="2733">
        <f ca="1"/>
        <v>370.78</v>
      </c>
      <c r="L173" vm="2734">
        <f ca="1"/>
        <v>94.57</v>
      </c>
      <c r="M173" vm="2735">
        <f ca="1"/>
        <v>947.5</v>
      </c>
      <c r="N173" vm="2736">
        <f ca="1"/>
        <v>245.98</v>
      </c>
      <c r="O173" vm="2737">
        <f ca="1"/>
        <v>108.44</v>
      </c>
      <c r="P173" vm="2738">
        <f ca="1"/>
        <v>174.01</v>
      </c>
      <c r="Q173" vm="2739">
        <f ca="1"/>
        <v>81.99</v>
      </c>
      <c r="R173" vm="2740">
        <f ca="1"/>
        <v>149.47</v>
      </c>
    </row>
    <row r="174" spans="1:18" ht="20" customHeight="1" x14ac:dyDescent="0.2">
      <c r="A174" vm="2741">
        <f ca="1"/>
        <v>46211</v>
      </c>
      <c r="B174" vm="2742">
        <f ca="1"/>
        <v>358.71</v>
      </c>
      <c r="C174" vm="2743">
        <f ca="1"/>
        <v>90</v>
      </c>
      <c r="D174" vm="2744">
        <f ca="1"/>
        <v>317.81</v>
      </c>
      <c r="E174" vm="2745">
        <f ca="1"/>
        <v>96.09</v>
      </c>
      <c r="F174" vm="2746">
        <f ca="1"/>
        <v>83.4</v>
      </c>
      <c r="G174" vm="2747">
        <f ca="1"/>
        <v>8.5500000000000007</v>
      </c>
      <c r="H174" vm="2748">
        <f ca="1"/>
        <v>113.1</v>
      </c>
      <c r="I174" vm="2749">
        <f ca="1"/>
        <v>383.34</v>
      </c>
      <c r="J174" vm="2750">
        <f ca="1"/>
        <v>313.39</v>
      </c>
      <c r="K174" vm="2751">
        <f ca="1"/>
        <v>388.69</v>
      </c>
      <c r="L174" vm="2752">
        <f ca="1"/>
        <v>93.4</v>
      </c>
      <c r="M174" vm="2753">
        <f ca="1"/>
        <v>953.13</v>
      </c>
      <c r="N174" vm="2754">
        <f ca="1"/>
        <v>243.62</v>
      </c>
      <c r="O174" vm="2755">
        <f ca="1"/>
        <v>110.72</v>
      </c>
      <c r="P174" vm="2756">
        <f ca="1"/>
        <v>175.97</v>
      </c>
      <c r="Q174" vm="1723">
        <f ca="1"/>
        <v>82.24</v>
      </c>
      <c r="R174" vm="2757">
        <f ca="1"/>
        <v>148.30000000000001</v>
      </c>
    </row>
    <row r="175" spans="1:18" ht="20" customHeight="1" x14ac:dyDescent="0.2">
      <c r="A175" vm="2758">
        <f ca="1"/>
        <v>46212</v>
      </c>
      <c r="B175" vm="2759">
        <f ca="1"/>
        <v>356.24</v>
      </c>
      <c r="C175" vm="2760">
        <f ca="1"/>
        <v>89.7</v>
      </c>
      <c r="D175" vm="2392">
        <f ca="1"/>
        <v>323.92</v>
      </c>
      <c r="E175" vm="2761">
        <f ca="1"/>
        <v>98.02</v>
      </c>
      <c r="F175" vm="2631">
        <f ca="1"/>
        <v>82.63</v>
      </c>
      <c r="G175" t="e">
        <f ca="1"/>
        <v>#N/A</v>
      </c>
      <c r="H175" vm="2762">
        <f ca="1"/>
        <v>112.21</v>
      </c>
      <c r="I175" vm="2763">
        <f ca="1"/>
        <v>384.36</v>
      </c>
      <c r="J175" vm="2764">
        <f ca="1"/>
        <v>316.22000000000003</v>
      </c>
      <c r="K175" vm="2765">
        <f ca="1"/>
        <v>401.11</v>
      </c>
      <c r="L175" vm="2766">
        <f ca="1"/>
        <v>95.28</v>
      </c>
      <c r="M175" vm="2767">
        <f ca="1"/>
        <v>912.97</v>
      </c>
      <c r="N175" vm="2768">
        <f ca="1"/>
        <v>247.04</v>
      </c>
      <c r="O175" vm="2769">
        <f ca="1"/>
        <v>108.02</v>
      </c>
      <c r="P175" vm="2770">
        <f ca="1"/>
        <v>174.05</v>
      </c>
      <c r="Q175" vm="2771">
        <f ca="1"/>
        <v>81.400000000000006</v>
      </c>
      <c r="R175" vm="2772">
        <f ca="1"/>
        <v>152.16</v>
      </c>
    </row>
    <row r="176" spans="1:18" ht="20" customHeight="1" x14ac:dyDescent="0.2">
      <c r="A176" vm="2773">
        <f ca="1"/>
        <v>46213</v>
      </c>
      <c r="B176" vm="2774">
        <f ca="1"/>
        <v>355.03</v>
      </c>
      <c r="C176" vm="2775">
        <f ca="1"/>
        <v>88.88</v>
      </c>
      <c r="D176" vm="2776">
        <f ca="1"/>
        <v>318.86</v>
      </c>
      <c r="E176" vm="2777">
        <f ca="1"/>
        <v>99.09</v>
      </c>
      <c r="F176" vm="2778">
        <f ca="1"/>
        <v>83.49</v>
      </c>
      <c r="G176" vm="2567">
        <f ca="1"/>
        <v>8.77</v>
      </c>
      <c r="H176" vm="2779">
        <f ca="1"/>
        <v>113.9</v>
      </c>
      <c r="I176" vm="2780">
        <f ca="1"/>
        <v>385.1</v>
      </c>
      <c r="J176" vm="750">
        <f ca="1"/>
        <v>315.32</v>
      </c>
      <c r="K176" vm="2781">
        <f ca="1"/>
        <v>399.97</v>
      </c>
      <c r="L176" vm="2782">
        <f ca="1"/>
        <v>94.09</v>
      </c>
      <c r="M176" vm="2783">
        <f ca="1"/>
        <v>916.25</v>
      </c>
      <c r="N176" vm="2784">
        <f ca="1"/>
        <v>245.34</v>
      </c>
      <c r="O176" vm="2785">
        <f ca="1"/>
        <v>109.04</v>
      </c>
      <c r="P176" vm="2786">
        <f ca="1"/>
        <v>176.4</v>
      </c>
      <c r="Q176" vm="2787">
        <f ca="1"/>
        <v>82.23</v>
      </c>
      <c r="R176" vm="2788">
        <f ca="1"/>
        <v>145.30000000000001</v>
      </c>
    </row>
    <row r="177" spans="1:18" ht="20" customHeight="1" x14ac:dyDescent="0.2">
      <c r="A177" vm="2789">
        <f ca="1"/>
        <v>46216</v>
      </c>
      <c r="B177" vm="2790">
        <f ca="1"/>
        <v>350.67</v>
      </c>
      <c r="C177" vm="2791">
        <f ca="1"/>
        <v>83.31</v>
      </c>
      <c r="D177" vm="2792">
        <f ca="1"/>
        <v>305.87</v>
      </c>
      <c r="E177" vm="2793">
        <f ca="1"/>
        <v>98.09</v>
      </c>
      <c r="F177" vm="2794">
        <f ca="1"/>
        <v>84.25</v>
      </c>
      <c r="G177" vm="2469">
        <f ca="1"/>
        <v>8.56</v>
      </c>
      <c r="H177" vm="2795">
        <f ca="1"/>
        <v>114.78</v>
      </c>
      <c r="I177" vm="2796">
        <f ca="1"/>
        <v>390.99</v>
      </c>
      <c r="J177" vm="2797">
        <f ca="1"/>
        <v>317.31</v>
      </c>
      <c r="K177" vm="2798">
        <f ca="1"/>
        <v>384.05</v>
      </c>
      <c r="L177" vm="2799">
        <f ca="1"/>
        <v>93.56</v>
      </c>
      <c r="M177" vm="2800">
        <f ca="1"/>
        <v>926.43</v>
      </c>
      <c r="N177" vm="2801">
        <f ca="1"/>
        <v>247.31</v>
      </c>
      <c r="O177" vm="2802">
        <f ca="1"/>
        <v>112.85</v>
      </c>
      <c r="P177" vm="2803">
        <f ca="1"/>
        <v>182.2</v>
      </c>
      <c r="Q177" vm="2804">
        <f ca="1"/>
        <v>83.98</v>
      </c>
      <c r="R177" vm="2805">
        <f ca="1"/>
        <v>139.13999999999999</v>
      </c>
    </row>
    <row r="178" spans="1:18" ht="20" customHeight="1" x14ac:dyDescent="0.2">
      <c r="A178" vm="2806">
        <f ca="1"/>
        <v>46217</v>
      </c>
      <c r="B178" vm="2807">
        <f ca="1"/>
        <v>357.33</v>
      </c>
      <c r="C178" vm="1552">
        <f ca="1"/>
        <v>79.94</v>
      </c>
      <c r="D178" vm="2808">
        <f ca="1"/>
        <v>303.58</v>
      </c>
      <c r="E178" vm="2809">
        <f ca="1"/>
        <v>99.25</v>
      </c>
      <c r="F178" vm="2810">
        <f ca="1"/>
        <v>83.08</v>
      </c>
      <c r="G178" vm="2811">
        <f ca="1"/>
        <v>8.85</v>
      </c>
      <c r="H178" vm="2812">
        <f ca="1"/>
        <v>113.7</v>
      </c>
      <c r="I178" vm="2813">
        <f ca="1"/>
        <v>384.93</v>
      </c>
      <c r="J178" vm="2814">
        <f ca="1"/>
        <v>314.86</v>
      </c>
      <c r="K178" vm="2815">
        <f ca="1"/>
        <v>389.11</v>
      </c>
      <c r="L178" vm="2450">
        <f ca="1"/>
        <v>95.61</v>
      </c>
      <c r="M178" vm="2816">
        <f ca="1"/>
        <v>921.75</v>
      </c>
      <c r="N178" vm="2817">
        <f ca="1"/>
        <v>247.49</v>
      </c>
      <c r="O178" vm="2818">
        <f ca="1"/>
        <v>111.87</v>
      </c>
      <c r="P178" vm="2819">
        <f ca="1"/>
        <v>181.76</v>
      </c>
      <c r="Q178" vm="1725">
        <f ca="1"/>
        <v>84.41</v>
      </c>
      <c r="R178" vm="2820">
        <f ca="1"/>
        <v>136.08000000000001</v>
      </c>
    </row>
    <row r="179" spans="1:18" ht="20" customHeight="1" x14ac:dyDescent="0.2">
      <c r="A179" vm="2821">
        <f ca="1"/>
        <v>46218</v>
      </c>
      <c r="B179" vm="2822">
        <f ca="1"/>
        <v>370.21</v>
      </c>
      <c r="C179" vm="2823">
        <f ca="1"/>
        <v>77.12</v>
      </c>
      <c r="D179" vm="2824">
        <f ca="1"/>
        <v>304.57</v>
      </c>
      <c r="E179" vm="2825">
        <f ca="1"/>
        <v>100.46</v>
      </c>
      <c r="F179" vm="2826">
        <f ca="1"/>
        <v>82.45</v>
      </c>
      <c r="G179" vm="2321">
        <f ca="1"/>
        <v>8.9700000000000006</v>
      </c>
      <c r="H179" vm="710">
        <f ca="1"/>
        <v>112.53</v>
      </c>
      <c r="I179" vm="2827">
        <f ca="1"/>
        <v>395.63</v>
      </c>
      <c r="J179" vm="2828">
        <f ca="1"/>
        <v>327.5</v>
      </c>
      <c r="K179" vm="2829">
        <f ca="1"/>
        <v>394.28</v>
      </c>
      <c r="L179" vm="2830">
        <f ca="1"/>
        <v>97.41</v>
      </c>
      <c r="M179" vm="2831">
        <f ca="1"/>
        <v>916.54</v>
      </c>
      <c r="N179" vm="2832">
        <f ca="1"/>
        <v>254.96</v>
      </c>
      <c r="O179" vm="2833">
        <f ca="1"/>
        <v>111.46</v>
      </c>
      <c r="P179" vm="2834">
        <f ca="1"/>
        <v>181.6</v>
      </c>
      <c r="Q179" vm="1740">
        <f ca="1"/>
        <v>84.64</v>
      </c>
      <c r="R179" vm="2835">
        <f ca="1"/>
        <v>135.27000000000001</v>
      </c>
    </row>
    <row r="180" spans="1:18" ht="20" customHeight="1" x14ac:dyDescent="0.2">
      <c r="A180" vm="2836">
        <f ca="1"/>
        <v>46219</v>
      </c>
      <c r="B180" vm="2837">
        <f ca="1"/>
        <v>353.81</v>
      </c>
      <c r="C180" vm="2838">
        <f ca="1"/>
        <v>72.91</v>
      </c>
      <c r="D180" vm="2839">
        <f ca="1"/>
        <v>294.11</v>
      </c>
      <c r="E180" vm="2840">
        <f ca="1"/>
        <v>100.52</v>
      </c>
      <c r="F180" vm="2841">
        <f ca="1"/>
        <v>84.92</v>
      </c>
      <c r="G180" vm="2842">
        <f ca="1"/>
        <v>8.76</v>
      </c>
      <c r="H180" vm="2843">
        <f ca="1"/>
        <v>114.95</v>
      </c>
      <c r="I180" vm="492">
        <f ca="1"/>
        <v>401.1</v>
      </c>
      <c r="J180" vm="2844">
        <f ca="1"/>
        <v>333.26</v>
      </c>
      <c r="K180" vm="2845">
        <f ca="1"/>
        <v>374.45</v>
      </c>
      <c r="L180" vm="1812">
        <f ca="1"/>
        <v>92.21</v>
      </c>
      <c r="M180" vm="2846">
        <f ca="1"/>
        <v>945.57</v>
      </c>
      <c r="N180" vm="2847">
        <f ca="1"/>
        <v>249.89</v>
      </c>
      <c r="O180" vm="2848">
        <f ca="1"/>
        <v>112.84</v>
      </c>
      <c r="P180" vm="2849">
        <f ca="1"/>
        <v>183.86</v>
      </c>
      <c r="Q180" vm="2850">
        <f ca="1"/>
        <v>85.08</v>
      </c>
      <c r="R180" vm="2851">
        <f ca="1"/>
        <v>131.11000000000001</v>
      </c>
    </row>
    <row r="181" spans="1:18" ht="20" customHeight="1" x14ac:dyDescent="0.2">
      <c r="A181" vm="2852">
        <f ca="1"/>
        <v>46220</v>
      </c>
      <c r="B181" vm="2853">
        <f ca="1"/>
        <v>346.12</v>
      </c>
      <c r="C181" vm="317">
        <f ca="1"/>
        <v>73.209999999999994</v>
      </c>
      <c r="D181" vm="2854">
        <f ca="1"/>
        <v>289.56</v>
      </c>
      <c r="E181" vm="291">
        <f ca="1"/>
        <v>100.61</v>
      </c>
      <c r="F181" vm="1350">
        <f ca="1"/>
        <v>81.56</v>
      </c>
      <c r="G181" vm="2855">
        <f ca="1"/>
        <v>8.49</v>
      </c>
      <c r="H181" vm="2856">
        <f ca="1"/>
        <v>114.24</v>
      </c>
      <c r="I181" vm="2857">
        <f ca="1"/>
        <v>393.82</v>
      </c>
      <c r="J181" vm="2858">
        <f ca="1"/>
        <v>333.74</v>
      </c>
      <c r="K181" vm="2859">
        <f ca="1"/>
        <v>370.82499999999999</v>
      </c>
      <c r="L181" vm="2860">
        <f ca="1"/>
        <v>90.53</v>
      </c>
      <c r="M181" vm="2861">
        <f ca="1"/>
        <v>940.87</v>
      </c>
      <c r="N181" vm="2862">
        <f ca="1"/>
        <v>247.23</v>
      </c>
      <c r="O181" vm="2863">
        <f ca="1"/>
        <v>114.71</v>
      </c>
      <c r="P181" vm="2864">
        <f ca="1"/>
        <v>187.38</v>
      </c>
      <c r="Q181" vm="2865">
        <f ca="1"/>
        <v>87.32</v>
      </c>
      <c r="R181" vm="2866">
        <f ca="1"/>
        <v>123.99</v>
      </c>
    </row>
    <row r="182" spans="1:18" ht="20" customHeight="1" x14ac:dyDescent="0.2">
      <c r="A182" vm="2867">
        <f ca="1"/>
        <v>46223</v>
      </c>
      <c r="B182" vm="2868">
        <f ca="1"/>
        <v>351.37</v>
      </c>
      <c r="C182" vm="1025">
        <f ca="1"/>
        <v>73.06</v>
      </c>
      <c r="D182" vm="2869">
        <f ca="1"/>
        <v>291.67</v>
      </c>
      <c r="E182" vm="2870">
        <f ca="1"/>
        <v>99.01</v>
      </c>
      <c r="F182" vm="1534">
        <f ca="1"/>
        <v>82.12</v>
      </c>
      <c r="G182" vm="2871">
        <f ca="1"/>
        <v>8.81</v>
      </c>
      <c r="H182" vm="2872">
        <f ca="1"/>
        <v>112.2</v>
      </c>
      <c r="I182" vm="2873">
        <f ca="1"/>
        <v>402.29</v>
      </c>
      <c r="J182" vm="2874">
        <f ca="1"/>
        <v>326.58999999999997</v>
      </c>
      <c r="K182" vm="2875">
        <f ca="1"/>
        <v>378.16</v>
      </c>
      <c r="L182" vm="2876">
        <f ca="1"/>
        <v>91.68</v>
      </c>
      <c r="M182" vm="2877">
        <f ca="1"/>
        <v>935.8</v>
      </c>
      <c r="N182" vm="2878">
        <f ca="1"/>
        <v>249.99</v>
      </c>
      <c r="O182" vm="2879">
        <f ca="1"/>
        <v>115.68</v>
      </c>
      <c r="P182" vm="2387">
        <f ca="1"/>
        <v>189.71</v>
      </c>
      <c r="Q182" vm="2880">
        <f ca="1"/>
        <v>86.2</v>
      </c>
      <c r="R182" vm="2881">
        <f ca="1"/>
        <v>119.85</v>
      </c>
    </row>
    <row r="183" spans="1:18" ht="20" customHeight="1" x14ac:dyDescent="0.2">
      <c r="A183" vm="2882">
        <f ca="1"/>
        <v>46224</v>
      </c>
      <c r="B183" vm="2883">
        <f ca="1"/>
        <v>346.19</v>
      </c>
      <c r="C183" vm="678">
        <f ca="1"/>
        <v>79.58</v>
      </c>
      <c r="D183" vm="2884">
        <f ca="1"/>
        <v>304.5</v>
      </c>
      <c r="E183" vm="2885">
        <f ca="1"/>
        <v>101.12</v>
      </c>
      <c r="F183" vm="2886">
        <f ca="1"/>
        <v>81.97</v>
      </c>
      <c r="G183" vm="1958">
        <f ca="1"/>
        <v>8.69</v>
      </c>
      <c r="H183" vm="2887">
        <f ca="1"/>
        <v>110.39</v>
      </c>
      <c r="I183" vm="2888">
        <f ca="1"/>
        <v>397.75</v>
      </c>
      <c r="J183" vm="2889">
        <f ca="1"/>
        <v>327.74</v>
      </c>
      <c r="K183" vm="2890">
        <f ca="1"/>
        <v>386.5</v>
      </c>
      <c r="L183" vm="2891">
        <f ca="1"/>
        <v>94.42</v>
      </c>
      <c r="M183" vm="2892">
        <f ca="1"/>
        <v>929.22</v>
      </c>
      <c r="N183" vm="2893">
        <f ca="1"/>
        <v>247.55</v>
      </c>
      <c r="O183" vm="2894">
        <f ca="1"/>
        <v>117.5</v>
      </c>
      <c r="P183" vm="2895">
        <f ca="1"/>
        <v>191.07</v>
      </c>
      <c r="Q183" vm="2093">
        <f ca="1"/>
        <v>87.2</v>
      </c>
      <c r="R183" vm="2896">
        <f ca="1"/>
        <v>123.54</v>
      </c>
    </row>
    <row r="184" spans="1:18" ht="20" customHeight="1" x14ac:dyDescent="0.2">
      <c r="A184" vm="2897">
        <f ca="1"/>
        <v>46225</v>
      </c>
      <c r="B184" vm="2898">
        <f ca="1"/>
        <v>341.91</v>
      </c>
      <c r="C184" vm="2899">
        <f ca="1"/>
        <v>82.64</v>
      </c>
      <c r="D184" vm="1846">
        <f ca="1"/>
        <v>301.16000000000003</v>
      </c>
      <c r="E184" vm="2900">
        <f ca="1"/>
        <v>103.11</v>
      </c>
      <c r="F184" vm="2901">
        <f ca="1"/>
        <v>82.2</v>
      </c>
      <c r="G184" vm="2902">
        <f ca="1"/>
        <v>8.86</v>
      </c>
      <c r="H184" vm="2903">
        <f ca="1"/>
        <v>109.33</v>
      </c>
      <c r="I184" vm="2471">
        <f ca="1"/>
        <v>390.34</v>
      </c>
      <c r="J184" vm="2904">
        <f ca="1"/>
        <v>325.89</v>
      </c>
      <c r="K184" vm="2905">
        <f ca="1"/>
        <v>396.81</v>
      </c>
      <c r="L184" vm="2906">
        <f ca="1"/>
        <v>93.5</v>
      </c>
      <c r="M184" vm="2907">
        <f ca="1"/>
        <v>927.31</v>
      </c>
      <c r="N184" vm="2908">
        <f ca="1"/>
        <v>244.85</v>
      </c>
      <c r="O184" vm="1840">
        <f ca="1"/>
        <v>118.79</v>
      </c>
      <c r="P184" vm="2909">
        <f ca="1"/>
        <v>192.98</v>
      </c>
      <c r="Q184" vm="2910">
        <f ca="1"/>
        <v>87.77</v>
      </c>
      <c r="R184" vm="2911">
        <f ca="1"/>
        <v>115.26</v>
      </c>
    </row>
    <row r="185" spans="1:18" ht="20" customHeight="1" x14ac:dyDescent="0.2">
      <c r="A185" vm="2912">
        <f ca="1"/>
        <v>46226</v>
      </c>
      <c r="B185" vm="2913">
        <f ca="1"/>
        <v>318.33999999999997</v>
      </c>
      <c r="C185" vm="2914">
        <f ca="1"/>
        <v>81.099999999999994</v>
      </c>
      <c r="D185" vm="2915">
        <f ca="1"/>
        <v>304.04000000000002</v>
      </c>
      <c r="E185" vm="2916">
        <f ca="1"/>
        <v>101.75</v>
      </c>
      <c r="F185" vm="2256">
        <f ca="1"/>
        <v>81.17</v>
      </c>
      <c r="G185" vm="2917">
        <f ca="1"/>
        <v>8.66</v>
      </c>
      <c r="H185" vm="2918">
        <f ca="1"/>
        <v>108.4</v>
      </c>
      <c r="I185" vm="2919">
        <f ca="1"/>
        <v>381.58</v>
      </c>
      <c r="J185" vm="2920">
        <f ca="1"/>
        <v>321.66000000000003</v>
      </c>
      <c r="K185" vm="2921">
        <f ca="1"/>
        <v>392.47</v>
      </c>
      <c r="L185" vm="2922">
        <f ca="1"/>
        <v>91.76</v>
      </c>
      <c r="M185" vm="2923">
        <f ca="1"/>
        <v>926.06</v>
      </c>
      <c r="N185" vm="2924">
        <f ca="1"/>
        <v>233.66</v>
      </c>
      <c r="O185" vm="2925">
        <f ca="1"/>
        <v>120.2</v>
      </c>
      <c r="P185" vm="2926">
        <f ca="1"/>
        <v>194.42</v>
      </c>
      <c r="Q185" vm="2927">
        <f ca="1"/>
        <v>87.95</v>
      </c>
      <c r="R185" vm="1375">
        <f ca="1"/>
        <v>118.24</v>
      </c>
    </row>
    <row r="186" spans="1:18" ht="20" customHeight="1" x14ac:dyDescent="0.2">
      <c r="A186" vm="2928">
        <f ca="1"/>
        <v>46227</v>
      </c>
      <c r="B186" vm="2929">
        <f ca="1"/>
        <v>319.08999999999997</v>
      </c>
      <c r="C186" vm="2930">
        <f ca="1"/>
        <v>71.88</v>
      </c>
      <c r="D186" vm="2931">
        <f ca="1"/>
        <v>290.36</v>
      </c>
      <c r="E186" vm="2932">
        <f ca="1"/>
        <v>103.4</v>
      </c>
      <c r="F186" vm="2526">
        <f ca="1"/>
        <v>82.25</v>
      </c>
      <c r="G186" vm="2933">
        <f ca="1"/>
        <v>8.57</v>
      </c>
      <c r="H186" vm="2934">
        <f ca="1"/>
        <v>109.47</v>
      </c>
      <c r="I186" vm="2935">
        <f ca="1"/>
        <v>381.7</v>
      </c>
      <c r="J186" vm="2936">
        <f ca="1"/>
        <v>333.02</v>
      </c>
      <c r="K186" vm="2937">
        <f ca="1"/>
        <v>381.92</v>
      </c>
      <c r="L186" vm="2938">
        <f ca="1"/>
        <v>91.74</v>
      </c>
      <c r="M186" vm="130">
        <f ca="1"/>
        <v>935.03</v>
      </c>
      <c r="N186" vm="2939">
        <f ca="1"/>
        <v>232.11</v>
      </c>
      <c r="O186" vm="1497">
        <f ca="1"/>
        <v>120.26</v>
      </c>
      <c r="P186" vm="2940">
        <f ca="1"/>
        <v>194.79</v>
      </c>
      <c r="Q186" vm="2193">
        <f ca="1"/>
        <v>88.38</v>
      </c>
      <c r="R186" vm="2941">
        <f ca="1"/>
        <v>115.07</v>
      </c>
    </row>
    <row r="187" spans="1:18" ht="20" customHeight="1" x14ac:dyDescent="0.2">
      <c r="A187" vm="2942">
        <f ca="1"/>
        <v>46230</v>
      </c>
      <c r="B187" vm="2943">
        <f ca="1"/>
        <v>326.57</v>
      </c>
      <c r="C187" vm="502">
        <f ca="1"/>
        <v>70.790000000000006</v>
      </c>
      <c r="D187" vm="2944">
        <f ca="1"/>
        <v>287.60000000000002</v>
      </c>
      <c r="E187" vm="2945">
        <f ca="1"/>
        <v>103.97</v>
      </c>
      <c r="F187" vm="2946">
        <f ca="1"/>
        <v>84.07</v>
      </c>
      <c r="G187" vm="175">
        <f ca="1"/>
        <v>8.25</v>
      </c>
      <c r="H187" vm="695">
        <f ca="1"/>
        <v>111.74</v>
      </c>
      <c r="I187" vm="2947">
        <f ca="1"/>
        <v>389.1</v>
      </c>
      <c r="J187" vm="2948">
        <f ca="1"/>
        <v>336.91</v>
      </c>
      <c r="K187" vm="2032">
        <f ca="1"/>
        <v>383.22</v>
      </c>
      <c r="L187" vm="2949">
        <f ca="1"/>
        <v>92.27</v>
      </c>
      <c r="M187" vm="2950">
        <f ca="1"/>
        <v>951.58</v>
      </c>
      <c r="N187" vm="2951">
        <f ca="1"/>
        <v>231.39</v>
      </c>
      <c r="O187" vm="2356">
        <f ca="1"/>
        <v>115.58</v>
      </c>
      <c r="P187" vm="2952">
        <f ca="1"/>
        <v>190</v>
      </c>
      <c r="Q187" vm="2953">
        <f ca="1"/>
        <v>86.37</v>
      </c>
      <c r="R187" vm="2954">
        <f ca="1"/>
        <v>113.5</v>
      </c>
    </row>
    <row r="188" spans="1:18" ht="20" customHeight="1" x14ac:dyDescent="0.2">
      <c r="A188" vm="2955">
        <f ca="1"/>
        <v>46231</v>
      </c>
      <c r="B188" vm="935">
        <f ca="1"/>
        <v>332.6</v>
      </c>
      <c r="C188" vm="2956">
        <f ca="1"/>
        <v>67.3</v>
      </c>
      <c r="D188" vm="2957">
        <f ca="1"/>
        <v>269.56</v>
      </c>
      <c r="E188" vm="2958">
        <f ca="1"/>
        <v>103.7</v>
      </c>
      <c r="F188" vm="2959">
        <f ca="1"/>
        <v>88.27</v>
      </c>
      <c r="G188" vm="2960">
        <f ca="1"/>
        <v>8.27</v>
      </c>
      <c r="H188" vm="2748">
        <f ca="1"/>
        <v>113.1</v>
      </c>
      <c r="I188" vm="2961">
        <f ca="1"/>
        <v>393.35</v>
      </c>
      <c r="J188" vm="2962">
        <f ca="1"/>
        <v>340.08</v>
      </c>
      <c r="K188" vm="2963">
        <f ca="1"/>
        <v>380.91</v>
      </c>
      <c r="L188" vm="2964">
        <f ca="1"/>
        <v>90.91</v>
      </c>
      <c r="M188" vm="2965">
        <f ca="1"/>
        <v>966.58</v>
      </c>
      <c r="N188" vm="2966">
        <f ca="1"/>
        <v>230.86</v>
      </c>
      <c r="O188" vm="2967">
        <f ca="1"/>
        <v>114.1</v>
      </c>
      <c r="P188" vm="2968">
        <f ca="1"/>
        <v>187.58</v>
      </c>
      <c r="Q188" vm="2880">
        <f ca="1"/>
        <v>86.2</v>
      </c>
      <c r="R188" vm="2969">
        <f ca="1"/>
        <v>116.41</v>
      </c>
    </row>
    <row r="189" spans="1:18" ht="20" customHeight="1" x14ac:dyDescent="0.2">
      <c r="A189" vm="2970">
        <f ca="1"/>
        <v>46232</v>
      </c>
      <c r="B189" vm="2971">
        <f ca="1"/>
        <v>335.76</v>
      </c>
      <c r="C189" vm="2972">
        <f ca="1"/>
        <v>60.82</v>
      </c>
      <c r="D189" vm="2973">
        <f ca="1"/>
        <v>223.04</v>
      </c>
      <c r="E189" vm="2974">
        <f ca="1"/>
        <v>102.6</v>
      </c>
      <c r="F189" vm="2975">
        <f ca="1"/>
        <v>89.08</v>
      </c>
      <c r="G189" vm="141">
        <f ca="1"/>
        <v>8</v>
      </c>
      <c r="H189" vm="2976">
        <f ca="1"/>
        <v>114.22</v>
      </c>
      <c r="I189" vm="2977">
        <f ca="1"/>
        <v>390.54</v>
      </c>
      <c r="J189" vm="2978">
        <f ca="1"/>
        <v>338.19</v>
      </c>
      <c r="K189" vm="2979">
        <f ca="1"/>
        <v>370.32</v>
      </c>
      <c r="L189" vm="2980">
        <f ca="1"/>
        <v>86.26</v>
      </c>
      <c r="M189" vm="2981">
        <f ca="1"/>
        <v>974.03</v>
      </c>
      <c r="N189" vm="2982">
        <f ca="1"/>
        <v>226.65</v>
      </c>
      <c r="O189" vm="2983">
        <f ca="1"/>
        <v>118.06</v>
      </c>
      <c r="P189" vm="2984">
        <f ca="1"/>
        <v>191.86</v>
      </c>
      <c r="Q189" vm="2985">
        <f ca="1"/>
        <v>88.34</v>
      </c>
      <c r="R189" vm="2986">
        <f ca="1"/>
        <v>112.55</v>
      </c>
    </row>
    <row r="190" spans="1:18" ht="20" customHeight="1" x14ac:dyDescent="0.2">
      <c r="A190" vm="2987">
        <f ca="1"/>
        <v>46233</v>
      </c>
      <c r="B190" vm="2988">
        <f ca="1"/>
        <v>333.68</v>
      </c>
      <c r="C190" vm="721">
        <f ca="1"/>
        <v>73.900000000000006</v>
      </c>
      <c r="D190" vm="2989">
        <f ca="1"/>
        <v>227.5</v>
      </c>
      <c r="E190" vm="2990">
        <f ca="1"/>
        <v>107.09</v>
      </c>
      <c r="F190" vm="1009">
        <f ca="1"/>
        <v>88.49</v>
      </c>
      <c r="G190" vm="2991">
        <f ca="1"/>
        <v>8.1199999999999992</v>
      </c>
      <c r="H190" vm="2992">
        <f ca="1"/>
        <v>111.1</v>
      </c>
      <c r="I190" vm="2993">
        <f ca="1"/>
        <v>451.1</v>
      </c>
      <c r="J190" vm="2994">
        <f ca="1"/>
        <v>333.43</v>
      </c>
      <c r="K190" vm="2995">
        <f ca="1"/>
        <v>387.84</v>
      </c>
      <c r="L190" vm="1531">
        <f ca="1"/>
        <v>90.48</v>
      </c>
      <c r="M190" vm="2996">
        <f ca="1"/>
        <v>954.17</v>
      </c>
      <c r="N190" vm="2997">
        <f ca="1"/>
        <v>235.5</v>
      </c>
      <c r="O190" vm="2998">
        <f ca="1"/>
        <v>119.03</v>
      </c>
      <c r="P190" vm="2999">
        <f ca="1"/>
        <v>192.31</v>
      </c>
      <c r="Q190" vm="3000">
        <f ca="1"/>
        <v>90.51</v>
      </c>
      <c r="R190" vm="2872">
        <f ca="1"/>
        <v>112.2</v>
      </c>
    </row>
    <row r="191" spans="1:18" ht="20" customHeight="1" x14ac:dyDescent="0.2">
      <c r="A191" vm="3001">
        <f ca="1"/>
        <v>46234</v>
      </c>
      <c r="B191" vm="3002">
        <f ca="1"/>
        <v>356.65</v>
      </c>
      <c r="C191" vm="3003">
        <f ca="1"/>
        <v>71.77</v>
      </c>
      <c r="D191" vm="3004">
        <f ca="1"/>
        <v>241.57</v>
      </c>
      <c r="E191" vm="3005">
        <f ca="1"/>
        <v>106.42</v>
      </c>
      <c r="F191" vm="1998">
        <f ca="1"/>
        <v>87.59</v>
      </c>
      <c r="G191" vm="1911">
        <f ca="1"/>
        <v>8.3699999999999992</v>
      </c>
      <c r="H191" vm="3006">
        <f ca="1"/>
        <v>111.2</v>
      </c>
      <c r="I191" vm="3007">
        <f ca="1"/>
        <v>464.72</v>
      </c>
      <c r="J191" vm="3008">
        <f ca="1"/>
        <v>308.91000000000003</v>
      </c>
      <c r="K191" vm="3009">
        <f ca="1"/>
        <v>389.28</v>
      </c>
      <c r="L191" vm="3010">
        <f ca="1"/>
        <v>87.99</v>
      </c>
      <c r="M191" vm="3011">
        <f ca="1"/>
        <v>951.89</v>
      </c>
      <c r="N191" vm="3012">
        <f ca="1"/>
        <v>271.58</v>
      </c>
      <c r="O191" vm="3013">
        <f ca="1"/>
        <v>120.48</v>
      </c>
      <c r="P191" vm="3014">
        <f ca="1"/>
        <v>196.83</v>
      </c>
      <c r="Q191" vm="3015">
        <f ca="1"/>
        <v>91.98</v>
      </c>
      <c r="R191" vm="3016">
        <f ca="1"/>
        <v>108.37</v>
      </c>
    </row>
    <row r="192" spans="1:18" ht="20" customHeight="1" x14ac:dyDescent="0.2">
      <c r="A192" vm="3017">
        <f ca="1"/>
        <v>46237</v>
      </c>
      <c r="B192" vm="3018">
        <f ca="1"/>
        <v>372.47</v>
      </c>
      <c r="C192" vm="3019">
        <f ca="1"/>
        <v>85.76</v>
      </c>
      <c r="D192" vm="3020">
        <f ca="1"/>
        <v>263.05</v>
      </c>
      <c r="E192" vm="3021">
        <f ca="1"/>
        <v>107.86</v>
      </c>
      <c r="F192" vm="3022">
        <f ca="1"/>
        <v>86.86</v>
      </c>
      <c r="G192" vm="2917">
        <f ca="1"/>
        <v>8.66</v>
      </c>
      <c r="H192" vm="3023">
        <f ca="1"/>
        <v>110.71</v>
      </c>
      <c r="I192" vm="3024">
        <f ca="1"/>
        <v>487.65</v>
      </c>
      <c r="J192" vm="3025">
        <f ca="1"/>
        <v>303.42</v>
      </c>
      <c r="K192" vm="3026">
        <f ca="1"/>
        <v>392.23</v>
      </c>
      <c r="L192" vm="3027">
        <f ca="1"/>
        <v>87.75</v>
      </c>
      <c r="M192" vm="3028">
        <f ca="1"/>
        <v>954.08</v>
      </c>
      <c r="N192" vm="3029">
        <f ca="1"/>
        <v>284.02</v>
      </c>
      <c r="O192" vm="3030">
        <f ca="1"/>
        <v>119.16</v>
      </c>
      <c r="P192" vm="3031">
        <f ca="1"/>
        <v>193.18</v>
      </c>
      <c r="Q192" vm="3032">
        <f ca="1"/>
        <v>91.08</v>
      </c>
      <c r="R192" vm="835">
        <f ca="1"/>
        <v>114.53</v>
      </c>
    </row>
    <row r="193" spans="1:18" ht="20" customHeight="1" x14ac:dyDescent="0.2">
      <c r="A193" vm="3033">
        <f ca="1"/>
        <v>46238</v>
      </c>
      <c r="B193" vm="3034">
        <f ca="1"/>
        <v>375.35</v>
      </c>
      <c r="C193" vm="3035">
        <f ca="1"/>
        <v>91.9</v>
      </c>
      <c r="D193" vm="3036">
        <f ca="1"/>
        <v>269.93</v>
      </c>
      <c r="E193" vm="3037">
        <f ca="1"/>
        <v>106.04</v>
      </c>
      <c r="F193" vm="3038">
        <f ca="1"/>
        <v>86.56</v>
      </c>
      <c r="G193" vm="3039">
        <f ca="1"/>
        <v>8.8699999999999992</v>
      </c>
      <c r="H193" vm="3040">
        <f ca="1"/>
        <v>111.55</v>
      </c>
      <c r="I193" vm="3041">
        <f ca="1"/>
        <v>492.81</v>
      </c>
      <c r="J193" vm="3042">
        <f ca="1"/>
        <v>309.38</v>
      </c>
      <c r="K193" vm="3043">
        <f ca="1"/>
        <v>418.16</v>
      </c>
      <c r="L193" vm="3044">
        <f ca="1"/>
        <v>88.63</v>
      </c>
      <c r="M193" vm="3045">
        <f ca="1"/>
        <v>947.85</v>
      </c>
      <c r="N193" vm="3046">
        <f ca="1"/>
        <v>277.42</v>
      </c>
      <c r="O193" vm="3047">
        <f ca="1"/>
        <v>117.94</v>
      </c>
      <c r="P193" vm="3048">
        <f ca="1"/>
        <v>190.4</v>
      </c>
      <c r="Q193" vm="1856">
        <f ca="1"/>
        <v>89.84</v>
      </c>
      <c r="R193" vm="1490">
        <f ca="1"/>
        <v>125.33</v>
      </c>
    </row>
    <row r="194" spans="1:18" ht="20" customHeight="1" x14ac:dyDescent="0.2">
      <c r="A194" vm="3049">
        <f ca="1"/>
        <v>46239</v>
      </c>
      <c r="B194" vm="3050">
        <f ca="1"/>
        <v>360.13</v>
      </c>
      <c r="C194" vm="3051">
        <f ca="1"/>
        <v>89.89</v>
      </c>
      <c r="D194" vm="3052">
        <f ca="1"/>
        <v>277.94</v>
      </c>
      <c r="E194" vm="3053">
        <f ca="1"/>
        <v>102.68</v>
      </c>
      <c r="F194" vm="166">
        <f ca="1"/>
        <v>86.83</v>
      </c>
      <c r="G194" vm="2132">
        <f ca="1"/>
        <v>9.2100000000000009</v>
      </c>
      <c r="H194" vm="3054">
        <f ca="1"/>
        <v>112.34</v>
      </c>
      <c r="I194" vm="3055">
        <f ca="1"/>
        <v>487.46</v>
      </c>
      <c r="J194" vm="3056">
        <f ca="1"/>
        <v>311</v>
      </c>
      <c r="K194" vm="3057">
        <f ca="1"/>
        <v>418.28</v>
      </c>
      <c r="L194" vm="3058">
        <f ca="1"/>
        <v>88.74</v>
      </c>
      <c r="M194" vm="3059">
        <f ca="1"/>
        <v>941.99</v>
      </c>
      <c r="N194" vm="3060">
        <f ca="1"/>
        <v>272.64999999999998</v>
      </c>
      <c r="O194" vm="3061">
        <f ca="1"/>
        <v>115.04</v>
      </c>
      <c r="P194" vm="3062">
        <f ca="1"/>
        <v>186.41</v>
      </c>
      <c r="Q194" vm="3063">
        <f ca="1"/>
        <v>87.76</v>
      </c>
      <c r="R194" vm="3064">
        <f ca="1"/>
        <v>108.27</v>
      </c>
    </row>
    <row r="195" spans="1:18" ht="20" customHeight="1" x14ac:dyDescent="0.2">
      <c r="A195" vm="3065">
        <f ca="1"/>
        <v>46240</v>
      </c>
      <c r="B195" vm="3066">
        <f ca="1"/>
        <v>356.62</v>
      </c>
      <c r="C195" vm="3067">
        <f ca="1"/>
        <v>85.33</v>
      </c>
      <c r="D195" vm="36">
        <f ca="1"/>
        <v>275.17</v>
      </c>
      <c r="E195" vm="3068">
        <f ca="1"/>
        <v>102.56</v>
      </c>
      <c r="F195" vm="3069">
        <f ca="1"/>
        <v>86.85</v>
      </c>
      <c r="G195" vm="3070">
        <f ca="1"/>
        <v>9.1999999999999993</v>
      </c>
      <c r="H195" vm="3071">
        <f ca="1"/>
        <v>112.07</v>
      </c>
      <c r="I195" vm="3072">
        <f ca="1"/>
        <v>499.86</v>
      </c>
      <c r="J195" vm="3073">
        <f ca="1"/>
        <v>312.41000000000003</v>
      </c>
      <c r="K195" vm="3074">
        <f ca="1"/>
        <v>420.565</v>
      </c>
      <c r="L195" vm="3075">
        <f ca="1"/>
        <v>86.02</v>
      </c>
      <c r="M195" vm="3076">
        <f ca="1"/>
        <v>949.15</v>
      </c>
      <c r="N195" vm="3077">
        <f ca="1"/>
        <v>272.26</v>
      </c>
      <c r="O195" vm="3078">
        <f ca="1"/>
        <v>116.76</v>
      </c>
      <c r="P195" vm="3079">
        <f ca="1"/>
        <v>189.23</v>
      </c>
      <c r="Q195" vm="1073">
        <f ca="1"/>
        <v>89.6</v>
      </c>
      <c r="R195" vm="3080">
        <f ca="1"/>
        <v>114.92</v>
      </c>
    </row>
    <row r="196" spans="1:18" ht="20" customHeight="1" x14ac:dyDescent="0.2">
      <c r="A196" vm="3081">
        <f ca="1"/>
        <v>46241</v>
      </c>
      <c r="B196" vm="3082">
        <f ca="1"/>
        <v>353.47</v>
      </c>
      <c r="C196" vm="2030">
        <f ca="1"/>
        <v>90.67</v>
      </c>
      <c r="D196" vm="3083">
        <f ca="1"/>
        <v>272.39999999999998</v>
      </c>
      <c r="E196" vm="3084">
        <f ca="1"/>
        <v>103.73</v>
      </c>
      <c r="F196" vm="3085">
        <f ca="1"/>
        <v>87.05</v>
      </c>
      <c r="G196" vm="3086">
        <f ca="1"/>
        <v>9.5399999999999991</v>
      </c>
      <c r="H196" vm="3087">
        <f ca="1"/>
        <v>111.85</v>
      </c>
      <c r="I196" vm="3088">
        <f ca="1"/>
        <v>499.99</v>
      </c>
      <c r="J196" vm="3089">
        <f ca="1"/>
        <v>313.33</v>
      </c>
      <c r="K196" vm="3090">
        <f ca="1"/>
        <v>427.76</v>
      </c>
      <c r="L196" vm="3091">
        <f ca="1"/>
        <v>87.83</v>
      </c>
      <c r="M196" vm="3092">
        <f ca="1"/>
        <v>947.82</v>
      </c>
      <c r="N196" vm="3093">
        <f ca="1"/>
        <v>274.48</v>
      </c>
      <c r="O196" vm="3094">
        <f ca="1"/>
        <v>117.61</v>
      </c>
      <c r="P196" vm="3095">
        <f ca="1"/>
        <v>186.56</v>
      </c>
      <c r="Q196" vm="3096">
        <f ca="1"/>
        <v>88.5</v>
      </c>
      <c r="R196" vm="3097">
        <f ca="1"/>
        <v>133.11000000000001</v>
      </c>
    </row>
    <row r="197" spans="1:18" ht="20" customHeight="1" x14ac:dyDescent="0.2">
      <c r="A197" vm="3098">
        <f ca="1"/>
        <v>46244</v>
      </c>
      <c r="B197" vm="3099">
        <f ca="1"/>
        <v>355.84</v>
      </c>
      <c r="C197" vm="3100">
        <f ca="1"/>
        <v>88.19</v>
      </c>
      <c r="D197" vm="3101">
        <f ca="1"/>
        <v>270.10000000000002</v>
      </c>
      <c r="E197" vm="3102">
        <f ca="1"/>
        <v>103.32</v>
      </c>
      <c r="F197" vm="1121">
        <f ca="1"/>
        <v>86.87</v>
      </c>
      <c r="G197" vm="3103">
        <f ca="1"/>
        <v>9.09</v>
      </c>
      <c r="H197" vm="3104">
        <f ca="1"/>
        <v>112.66</v>
      </c>
      <c r="I197" vm="3105">
        <f ca="1"/>
        <v>506.06</v>
      </c>
      <c r="J197" vm="3106">
        <f ca="1"/>
        <v>308.26</v>
      </c>
      <c r="K197" vm="3107">
        <f ca="1"/>
        <v>422.4</v>
      </c>
      <c r="L197" vm="500">
        <f ca="1"/>
        <v>90.66</v>
      </c>
      <c r="M197" vm="3108">
        <f ca="1"/>
        <v>952.75</v>
      </c>
      <c r="N197" vm="3109">
        <f ca="1"/>
        <v>278.08999999999997</v>
      </c>
      <c r="O197" vm="3110">
        <f ca="1"/>
        <v>123.03</v>
      </c>
      <c r="P197" vm="3111">
        <f ca="1"/>
        <v>194.91</v>
      </c>
      <c r="Q197" vm="1134">
        <f ca="1"/>
        <v>89.95</v>
      </c>
      <c r="R197" vm="3112">
        <f ca="1"/>
        <v>138.74</v>
      </c>
    </row>
    <row r="198" spans="1:18" ht="20" customHeight="1" x14ac:dyDescent="0.2">
      <c r="A198" vm="3113">
        <f ca="1"/>
        <v>46245</v>
      </c>
      <c r="B198" vm="3114">
        <f ca="1"/>
        <v>343</v>
      </c>
      <c r="C198" vm="3115">
        <f ca="1"/>
        <v>90.32</v>
      </c>
      <c r="D198" vm="3116">
        <f ca="1"/>
        <v>281.81</v>
      </c>
      <c r="E198" vm="3117">
        <f ca="1"/>
        <v>103.21</v>
      </c>
      <c r="F198" vm="3118">
        <f ca="1"/>
        <v>86.48</v>
      </c>
      <c r="G198" vm="3119">
        <f ca="1"/>
        <v>9.08</v>
      </c>
      <c r="H198" vm="2664">
        <f ca="1"/>
        <v>113.26</v>
      </c>
      <c r="I198" vm="3120">
        <f ca="1"/>
        <v>503.81</v>
      </c>
      <c r="J198" vm="3121">
        <f ca="1"/>
        <v>304.91000000000003</v>
      </c>
      <c r="K198" vm="3122">
        <f ca="1"/>
        <v>416.08</v>
      </c>
      <c r="L198" vm="3123">
        <f ca="1"/>
        <v>89.78</v>
      </c>
      <c r="M198" vm="3124">
        <f ca="1"/>
        <v>944.32</v>
      </c>
      <c r="N198" vm="3125">
        <f ca="1"/>
        <v>272.27</v>
      </c>
      <c r="O198" vm="3126">
        <f ca="1"/>
        <v>125.92</v>
      </c>
      <c r="P198" vm="3127">
        <f ca="1"/>
        <v>196.66</v>
      </c>
      <c r="Q198" vm="3128">
        <f ca="1"/>
        <v>90.5</v>
      </c>
      <c r="R198" vm="3129">
        <f ca="1"/>
        <v>133.29</v>
      </c>
    </row>
    <row r="199" spans="1:18" ht="20" customHeight="1" x14ac:dyDescent="0.2">
      <c r="A199" vm="3130">
        <f ca="1"/>
        <v>46246</v>
      </c>
      <c r="B199" vm="3131">
        <f ca="1"/>
        <v>342.37</v>
      </c>
      <c r="C199" vm="3132">
        <f ca="1"/>
        <v>107.73</v>
      </c>
      <c r="D199" vm="3133">
        <f ca="1"/>
        <v>288.36</v>
      </c>
      <c r="E199" vm="3134">
        <f ca="1"/>
        <v>104.12</v>
      </c>
      <c r="F199" vm="3135">
        <f ca="1"/>
        <v>86.71</v>
      </c>
      <c r="G199" vm="3136">
        <f ca="1"/>
        <v>9.34</v>
      </c>
      <c r="H199" vm="3137">
        <f ca="1"/>
        <v>116.01</v>
      </c>
      <c r="I199" vm="3138">
        <f ca="1"/>
        <v>492.43</v>
      </c>
      <c r="J199" vm="2243">
        <f ca="1"/>
        <v>302.25</v>
      </c>
      <c r="K199" vm="3139">
        <f ca="1"/>
        <v>416.05</v>
      </c>
      <c r="L199" vm="3140">
        <f ca="1"/>
        <v>91.66</v>
      </c>
      <c r="M199" vm="3141">
        <f ca="1"/>
        <v>949.57500000000005</v>
      </c>
      <c r="N199" vm="3142">
        <f ca="1"/>
        <v>267.27999999999997</v>
      </c>
      <c r="O199" vm="3143">
        <f ca="1"/>
        <v>127.3</v>
      </c>
      <c r="P199" vm="3144">
        <f ca="1"/>
        <v>196.6</v>
      </c>
      <c r="Q199" vm="3145">
        <f ca="1"/>
        <v>90.07</v>
      </c>
      <c r="R199" vm="3146">
        <f ca="1"/>
        <v>146.15</v>
      </c>
    </row>
    <row r="200" spans="1:18" ht="20" customHeight="1" x14ac:dyDescent="0.2">
      <c r="A200" vm="3147">
        <f ca="1"/>
        <v>46247</v>
      </c>
      <c r="B200" vm="1156">
        <f ca="1"/>
        <v>343.94</v>
      </c>
      <c r="C200" vm="3148">
        <f ca="1"/>
        <v>106.29</v>
      </c>
      <c r="D200" vm="3149">
        <f ca="1"/>
        <v>287.07</v>
      </c>
      <c r="E200" vm="3150">
        <f ca="1"/>
        <v>104.05</v>
      </c>
      <c r="F200" vm="3151">
        <f ca="1"/>
        <v>87.42</v>
      </c>
      <c r="G200" vm="2378">
        <f ca="1"/>
        <v>9.42</v>
      </c>
      <c r="H200" vm="3152">
        <f ca="1"/>
        <v>115.72</v>
      </c>
      <c r="I200" vm="3153">
        <f ca="1"/>
        <v>496.88</v>
      </c>
      <c r="J200" vm="3154">
        <f ca="1"/>
        <v>305.26</v>
      </c>
      <c r="K200" vm="3155">
        <f ca="1"/>
        <v>417.82</v>
      </c>
      <c r="L200" vm="3156">
        <f ca="1"/>
        <v>91.42</v>
      </c>
      <c r="M200" vm="3157">
        <f ca="1"/>
        <v>961.85</v>
      </c>
      <c r="N200" vm="3158">
        <f ca="1"/>
        <v>265.13</v>
      </c>
      <c r="O200" vm="3159">
        <f ca="1"/>
        <v>124.52</v>
      </c>
      <c r="P200" vm="3160">
        <f ca="1"/>
        <v>197.7</v>
      </c>
      <c r="Q200" vm="3161">
        <f ca="1"/>
        <v>89.92</v>
      </c>
      <c r="R200" vm="3162">
        <f ca="1"/>
        <v>141.29</v>
      </c>
    </row>
    <row r="201" spans="1:18" ht="20" customHeight="1" x14ac:dyDescent="0.2">
      <c r="A201" vm="3163">
        <f ca="1"/>
        <v>46248</v>
      </c>
      <c r="B201" vm="3164">
        <f ca="1"/>
        <v>343.54</v>
      </c>
      <c r="C201" vm="3165">
        <f ca="1"/>
        <v>105.26</v>
      </c>
      <c r="D201" vm="3166">
        <f ca="1"/>
        <v>293.83999999999997</v>
      </c>
      <c r="E201" vm="3167">
        <f ca="1"/>
        <v>103.79</v>
      </c>
      <c r="F201" vm="3168">
        <f ca="1"/>
        <v>87.71</v>
      </c>
      <c r="G201" vm="3169">
        <f ca="1"/>
        <v>9.74</v>
      </c>
      <c r="H201" vm="3170">
        <f ca="1"/>
        <v>115.27</v>
      </c>
      <c r="I201" vm="3171">
        <f ca="1"/>
        <v>495.4</v>
      </c>
      <c r="J201" vm="3172">
        <f ca="1"/>
        <v>305.93</v>
      </c>
      <c r="K201" vm="3173">
        <f ca="1"/>
        <v>392.99</v>
      </c>
      <c r="L201" vm="3174">
        <f ca="1"/>
        <v>92.06</v>
      </c>
      <c r="M201" vm="3175">
        <f ca="1"/>
        <v>961.1</v>
      </c>
      <c r="N201" vm="3176">
        <f ca="1"/>
        <v>262.64999999999998</v>
      </c>
      <c r="O201" vm="3177">
        <f ca="1"/>
        <v>126.78</v>
      </c>
      <c r="P201" vm="3178">
        <f ca="1"/>
        <v>200</v>
      </c>
      <c r="Q201" vm="1925">
        <f ca="1"/>
        <v>90.47</v>
      </c>
      <c r="R201" vm="3179">
        <f ca="1"/>
        <v>140</v>
      </c>
    </row>
    <row r="202" spans="1:18" ht="20" customHeight="1" x14ac:dyDescent="0.2">
      <c r="A202" vm="3180">
        <f ca="1"/>
        <v>46251</v>
      </c>
      <c r="B202" vm="651">
        <f ca="1"/>
        <v>341.45</v>
      </c>
      <c r="C202" vm="3181">
        <f ca="1"/>
        <v>106</v>
      </c>
      <c r="D202" vm="3182">
        <f ca="1"/>
        <v>292.43</v>
      </c>
      <c r="E202" vm="3183">
        <f ca="1"/>
        <v>103.8</v>
      </c>
      <c r="F202" vm="3184">
        <f ca="1"/>
        <v>86.98</v>
      </c>
      <c r="G202" t="e">
        <f ca="1"/>
        <v>#N/A</v>
      </c>
      <c r="H202" vm="3185">
        <f ca="1"/>
        <v>114.33</v>
      </c>
      <c r="I202" vm="3186">
        <f ca="1"/>
        <v>480.35</v>
      </c>
      <c r="J202" vm="3187">
        <f ca="1"/>
        <v>305.58999999999997</v>
      </c>
      <c r="K202" vm="3188">
        <f ca="1"/>
        <v>392.43</v>
      </c>
      <c r="L202" vm="3189">
        <f ca="1"/>
        <v>94.33</v>
      </c>
      <c r="M202" vm="3190">
        <f ca="1"/>
        <v>953.5</v>
      </c>
      <c r="N202" vm="3191">
        <f ca="1"/>
        <v>261.31</v>
      </c>
      <c r="O202" vm="3192">
        <f ca="1"/>
        <v>127.56</v>
      </c>
      <c r="P202" vm="3193">
        <f ca="1"/>
        <v>202.7</v>
      </c>
      <c r="Q202" vm="3194">
        <f ca="1"/>
        <v>91.62</v>
      </c>
      <c r="R202" vm="3195">
        <f ca="1"/>
        <v>146.22999999999999</v>
      </c>
    </row>
    <row r="203" spans="1:18" ht="20" customHeight="1" x14ac:dyDescent="0.2">
      <c r="A203" vm="3196">
        <f ca="1"/>
        <v>46252</v>
      </c>
      <c r="B203" vm="3197">
        <f ca="1"/>
        <v>341.28</v>
      </c>
      <c r="C203" vm="3198">
        <f ca="1"/>
        <v>93.17</v>
      </c>
      <c r="D203" vm="3199">
        <f ca="1"/>
        <v>272.54000000000002</v>
      </c>
      <c r="E203" vm="3200">
        <f ca="1"/>
        <v>103.18</v>
      </c>
      <c r="F203" vm="3201">
        <f ca="1"/>
        <v>88.82</v>
      </c>
      <c r="G203" vm="3202">
        <f ca="1"/>
        <v>9.14</v>
      </c>
      <c r="H203" vm="3203">
        <f ca="1"/>
        <v>115.2</v>
      </c>
      <c r="I203" vm="1028">
        <f ca="1"/>
        <v>481.63</v>
      </c>
      <c r="J203" vm="3204">
        <f ca="1"/>
        <v>310.02999999999997</v>
      </c>
      <c r="K203" vm="3205">
        <f ca="1"/>
        <v>380</v>
      </c>
      <c r="L203" vm="3206">
        <f ca="1"/>
        <v>90.56</v>
      </c>
      <c r="M203" vm="3207">
        <f ca="1"/>
        <v>961.35</v>
      </c>
      <c r="N203" vm="3208">
        <f ca="1"/>
        <v>259.45</v>
      </c>
      <c r="O203" vm="3209">
        <f ca="1"/>
        <v>129.72</v>
      </c>
      <c r="P203" vm="3210">
        <f ca="1"/>
        <v>205.74</v>
      </c>
      <c r="Q203" vm="1784">
        <f ca="1"/>
        <v>92.01</v>
      </c>
      <c r="R203" vm="3211">
        <f ca="1"/>
        <v>143.34</v>
      </c>
    </row>
    <row r="204" spans="1:18" ht="20" customHeight="1" x14ac:dyDescent="0.2">
      <c r="A204" vm="3212">
        <f ca="1"/>
        <v>46253</v>
      </c>
      <c r="B204" vm="3213">
        <f ca="1"/>
        <v>341.7</v>
      </c>
      <c r="C204" vm="3214">
        <f ca="1"/>
        <v>90.87</v>
      </c>
      <c r="D204" vm="3215">
        <f ca="1"/>
        <v>261</v>
      </c>
      <c r="E204" vm="3216">
        <f ca="1"/>
        <v>102.3</v>
      </c>
      <c r="F204" vm="3217">
        <f ca="1"/>
        <v>90.35</v>
      </c>
      <c r="G204" vm="3218">
        <f ca="1"/>
        <v>9.06</v>
      </c>
      <c r="H204" vm="3219">
        <f ca="1"/>
        <v>114.3</v>
      </c>
      <c r="I204" vm="3220">
        <f ca="1"/>
        <v>484.31</v>
      </c>
      <c r="J204" vm="3221">
        <f ca="1"/>
        <v>316.83</v>
      </c>
      <c r="K204" vm="3222">
        <f ca="1"/>
        <v>362.48</v>
      </c>
      <c r="L204" vm="3223">
        <f ca="1"/>
        <v>90.54</v>
      </c>
      <c r="M204" vm="3224">
        <f ca="1"/>
        <v>956.99</v>
      </c>
      <c r="N204" vm="3225">
        <f ca="1"/>
        <v>265.83999999999997</v>
      </c>
      <c r="O204" vm="3226">
        <f ca="1"/>
        <v>130.58000000000001</v>
      </c>
      <c r="P204" vm="3227">
        <f ca="1"/>
        <v>205.76</v>
      </c>
      <c r="Q204" vm="3228">
        <f ca="1"/>
        <v>92.77</v>
      </c>
      <c r="R204" vm="3229">
        <f ca="1"/>
        <v>139.65</v>
      </c>
    </row>
    <row r="205" spans="1:18" ht="20" customHeight="1" x14ac:dyDescent="0.2">
      <c r="A205" vm="3230">
        <f ca="1"/>
        <v>46254</v>
      </c>
      <c r="B205" vm="3231">
        <f ca="1"/>
        <v>338.2</v>
      </c>
      <c r="C205" vm="3232">
        <f ca="1"/>
        <v>89.76</v>
      </c>
      <c r="D205" vm="3233">
        <f ca="1"/>
        <v>264.63</v>
      </c>
      <c r="E205" vm="3234">
        <f ca="1"/>
        <v>102.33</v>
      </c>
      <c r="F205" vm="3128">
        <f ca="1"/>
        <v>90.5</v>
      </c>
      <c r="G205" vm="3119">
        <f ca="1"/>
        <v>9.08</v>
      </c>
      <c r="H205" vm="3235">
        <f ca="1"/>
        <v>103.84</v>
      </c>
      <c r="I205" vm="3236">
        <f ca="1"/>
        <v>481.15</v>
      </c>
      <c r="J205" vm="3237">
        <f ca="1"/>
        <v>311.3</v>
      </c>
      <c r="K205" vm="3238">
        <f ca="1"/>
        <v>364.03</v>
      </c>
      <c r="L205" vm="3239">
        <f ca="1"/>
        <v>89.85</v>
      </c>
      <c r="M205" vm="3240">
        <f ca="1"/>
        <v>933.51</v>
      </c>
      <c r="N205" vm="3241">
        <f ca="1"/>
        <v>260.11</v>
      </c>
      <c r="O205" vm="3242">
        <f ca="1"/>
        <v>134.88999999999999</v>
      </c>
      <c r="P205" vm="3243">
        <f ca="1"/>
        <v>205.77</v>
      </c>
      <c r="Q205" vm="3244">
        <f ca="1"/>
        <v>93.65</v>
      </c>
      <c r="R205" vm="3245">
        <f ca="1"/>
        <v>134</v>
      </c>
    </row>
    <row r="206" spans="1:18" ht="20" customHeight="1" x14ac:dyDescent="0.2">
      <c r="A206" vm="3246">
        <f ca="1"/>
        <v>46255</v>
      </c>
      <c r="B206" vm="3247">
        <f ca="1"/>
        <v>341.75</v>
      </c>
      <c r="C206" vm="3248">
        <f ca="1"/>
        <v>87.85</v>
      </c>
      <c r="D206" vm="3249">
        <f ca="1"/>
        <v>261.95</v>
      </c>
      <c r="E206" vm="3250">
        <f ca="1"/>
        <v>104.15</v>
      </c>
      <c r="F206" vm="3251">
        <f ca="1"/>
        <v>91.1</v>
      </c>
      <c r="G206" vm="3252">
        <f ca="1"/>
        <v>9.24</v>
      </c>
      <c r="H206" vm="2958">
        <f ca="1"/>
        <v>103.7</v>
      </c>
      <c r="I206" vm="3253">
        <f ca="1"/>
        <v>483.24</v>
      </c>
      <c r="J206" vm="3254">
        <f ca="1"/>
        <v>309.35000000000002</v>
      </c>
      <c r="K206" vm="3255">
        <f ca="1"/>
        <v>368.45</v>
      </c>
      <c r="L206" vm="3256">
        <f ca="1"/>
        <v>93.87</v>
      </c>
      <c r="M206" vm="3257">
        <f ca="1"/>
        <v>947.74</v>
      </c>
      <c r="N206" vm="3258">
        <f ca="1"/>
        <v>258.63</v>
      </c>
      <c r="O206" vm="3259">
        <f ca="1"/>
        <v>134.87</v>
      </c>
      <c r="P206" vm="1297">
        <f ca="1"/>
        <v>205.27</v>
      </c>
      <c r="Q206" vm="3260">
        <f ca="1"/>
        <v>93.33</v>
      </c>
      <c r="R206" vm="3261">
        <f ca="1"/>
        <v>136.97</v>
      </c>
    </row>
    <row r="207" spans="1:18" ht="20" customHeight="1" x14ac:dyDescent="0.2">
      <c r="A207" vm="3262">
        <f ca="1"/>
        <v>46258</v>
      </c>
      <c r="B207" vm="3263">
        <f ca="1"/>
        <v>344.59</v>
      </c>
      <c r="C207" vm="3264">
        <f ca="1"/>
        <v>86.25</v>
      </c>
      <c r="D207" vm="3265">
        <f ca="1"/>
        <v>254.97</v>
      </c>
      <c r="E207" vm="3266">
        <f ca="1"/>
        <v>104.09</v>
      </c>
      <c r="F207" vm="2238">
        <f ca="1"/>
        <v>91.99</v>
      </c>
      <c r="G207" vm="3267">
        <f ca="1"/>
        <v>8.7799999999999994</v>
      </c>
      <c r="H207" vm="3268">
        <f ca="1"/>
        <v>106.49</v>
      </c>
      <c r="I207" vm="3269">
        <f ca="1"/>
        <v>487.31</v>
      </c>
      <c r="J207" vm="3270">
        <f ca="1"/>
        <v>310.33999999999997</v>
      </c>
      <c r="K207" vm="3271">
        <f ca="1"/>
        <v>358.76</v>
      </c>
      <c r="L207" vm="3272">
        <f ca="1"/>
        <v>93.05</v>
      </c>
      <c r="M207" vm="3273">
        <f ca="1"/>
        <v>971.4</v>
      </c>
      <c r="N207" vm="3274">
        <f ca="1"/>
        <v>262.07</v>
      </c>
      <c r="O207" vm="3275">
        <f ca="1"/>
        <v>133.35</v>
      </c>
      <c r="P207" vm="3276">
        <f ca="1"/>
        <v>203.09</v>
      </c>
      <c r="Q207" vm="1704">
        <f ca="1"/>
        <v>93</v>
      </c>
      <c r="R207" vm="3277">
        <f ca="1"/>
        <v>135</v>
      </c>
    </row>
    <row r="208" spans="1:18" ht="20" customHeight="1" x14ac:dyDescent="0.2">
      <c r="A208" vm="3278">
        <f ca="1"/>
        <v>46259</v>
      </c>
      <c r="B208" vm="3279">
        <f ca="1"/>
        <v>343.34</v>
      </c>
      <c r="C208" vm="3280">
        <f ca="1"/>
        <v>88.04</v>
      </c>
      <c r="D208" vm="3281">
        <f ca="1"/>
        <v>255.75</v>
      </c>
      <c r="E208" vm="3282">
        <f ca="1"/>
        <v>104.38</v>
      </c>
      <c r="F208" vm="3283">
        <f ca="1"/>
        <v>91.64</v>
      </c>
      <c r="G208" vm="1989">
        <f ca="1"/>
        <v>8.9</v>
      </c>
      <c r="H208" vm="3284">
        <f ca="1"/>
        <v>105.38</v>
      </c>
      <c r="I208" vm="3285">
        <f ca="1"/>
        <v>491.71</v>
      </c>
      <c r="J208" vm="3286">
        <f ca="1"/>
        <v>309.89999999999998</v>
      </c>
      <c r="K208" vm="3287">
        <f ca="1"/>
        <v>356.74</v>
      </c>
      <c r="L208" vm="924">
        <f ca="1"/>
        <v>98.19</v>
      </c>
      <c r="M208" vm="3288">
        <f ca="1"/>
        <v>960.01</v>
      </c>
      <c r="N208" vm="3289">
        <f ca="1"/>
        <v>261.06</v>
      </c>
      <c r="O208" vm="3290">
        <f ca="1"/>
        <v>131.84</v>
      </c>
      <c r="P208" vm="3291">
        <f ca="1"/>
        <v>199.89</v>
      </c>
      <c r="Q208" vm="3292">
        <f ca="1"/>
        <v>92.22</v>
      </c>
      <c r="R208" vm="3293">
        <f ca="1"/>
        <v>137.94999999999999</v>
      </c>
    </row>
    <row r="209" spans="1:18" ht="20" customHeight="1" x14ac:dyDescent="0.2">
      <c r="A209" vm="3294">
        <f ca="1"/>
        <v>46260</v>
      </c>
      <c r="B209" vm="3295">
        <f ca="1"/>
        <v>339.1</v>
      </c>
      <c r="C209" vm="1056">
        <f ca="1"/>
        <v>88.01</v>
      </c>
      <c r="D209" vm="3296">
        <f ca="1"/>
        <v>263.81</v>
      </c>
      <c r="E209" vm="3297">
        <f ca="1"/>
        <v>103.65</v>
      </c>
      <c r="F209" vm="3298">
        <f ca="1"/>
        <v>90.08</v>
      </c>
      <c r="G209" vm="3267">
        <f ca="1"/>
        <v>8.7799999999999994</v>
      </c>
      <c r="H209" vm="3299">
        <f ca="1"/>
        <v>104.34</v>
      </c>
      <c r="I209" vm="3300">
        <f ca="1"/>
        <v>496.37</v>
      </c>
      <c r="J209" vm="3301">
        <f ca="1"/>
        <v>313.45</v>
      </c>
      <c r="K209" vm="145">
        <f ca="1"/>
        <v>355.59</v>
      </c>
      <c r="L209" vm="3302">
        <f ca="1"/>
        <v>97.02</v>
      </c>
      <c r="M209" vm="3303">
        <f ca="1"/>
        <v>956.12</v>
      </c>
      <c r="N209" vm="3304">
        <f ca="1"/>
        <v>260.27999999999997</v>
      </c>
      <c r="O209" vm="3305">
        <f ca="1"/>
        <v>130.61000000000001</v>
      </c>
      <c r="P209" vm="3306">
        <f ca="1"/>
        <v>200.21</v>
      </c>
      <c r="Q209" vm="3307">
        <f ca="1"/>
        <v>91.11</v>
      </c>
      <c r="R209" vm="3308">
        <f ca="1"/>
        <v>139.63</v>
      </c>
    </row>
    <row r="210" spans="1:18" ht="20" customHeight="1" x14ac:dyDescent="0.2">
      <c r="A210" vm="3309">
        <f ca="1"/>
        <v>46261</v>
      </c>
      <c r="B210" vm="3310">
        <f ca="1"/>
        <v>337.71</v>
      </c>
      <c r="C210" vm="3311">
        <f ca="1"/>
        <v>86.8</v>
      </c>
      <c r="D210" vm="3312">
        <f ca="1"/>
        <v>269.27999999999997</v>
      </c>
      <c r="E210" vm="3313">
        <f ca="1"/>
        <v>102.85</v>
      </c>
      <c r="F210" vm="3314">
        <f ca="1"/>
        <v>89.06</v>
      </c>
      <c r="G210" vm="3315">
        <f ca="1"/>
        <v>9.5299999999999994</v>
      </c>
      <c r="H210" vm="3316">
        <f ca="1"/>
        <v>102.63</v>
      </c>
      <c r="I210" vm="3317">
        <f ca="1"/>
        <v>505.06</v>
      </c>
      <c r="J210" vm="3318">
        <f ca="1"/>
        <v>314.58</v>
      </c>
      <c r="K210" vm="3319">
        <f ca="1"/>
        <v>371.54</v>
      </c>
      <c r="L210" vm="3320">
        <f ca="1"/>
        <v>96.55</v>
      </c>
      <c r="M210" vm="3321">
        <f ca="1"/>
        <v>934.66</v>
      </c>
      <c r="N210" vm="3322">
        <f ca="1"/>
        <v>256.26</v>
      </c>
      <c r="O210" vm="3323">
        <f ca="1"/>
        <v>129.52000000000001</v>
      </c>
      <c r="P210" vm="3324">
        <f ca="1"/>
        <v>199.77</v>
      </c>
      <c r="Q210" vm="3325">
        <f ca="1"/>
        <v>90.7</v>
      </c>
      <c r="R210" vm="3326">
        <f ca="1"/>
        <v>140.87</v>
      </c>
    </row>
    <row r="211" spans="1:18" ht="20" customHeight="1" x14ac:dyDescent="0.2">
      <c r="A211" vm="3327">
        <f ca="1"/>
        <v>46262</v>
      </c>
      <c r="B211" vm="3328">
        <f ca="1"/>
        <v>342.88</v>
      </c>
      <c r="C211" vm="3329">
        <f ca="1"/>
        <v>84.23</v>
      </c>
      <c r="D211" vm="3330">
        <f ca="1"/>
        <v>257.08</v>
      </c>
      <c r="E211" vm="3331">
        <f ca="1"/>
        <v>103.53</v>
      </c>
      <c r="F211" vm="3332">
        <f ca="1"/>
        <v>89.66</v>
      </c>
      <c r="G211" vm="3333">
        <f ca="1"/>
        <v>9.07</v>
      </c>
      <c r="H211" vm="3334">
        <f ca="1"/>
        <v>103.09</v>
      </c>
      <c r="I211" vm="3335">
        <f ca="1"/>
        <v>513.53</v>
      </c>
      <c r="J211" vm="3336">
        <f ca="1"/>
        <v>319.7</v>
      </c>
      <c r="K211" vm="3337">
        <f ca="1"/>
        <v>368.79</v>
      </c>
      <c r="L211" vm="3338">
        <f ca="1"/>
        <v>95.84</v>
      </c>
      <c r="M211" vm="3339">
        <f ca="1"/>
        <v>945.47</v>
      </c>
      <c r="N211" vm="1850">
        <f ca="1"/>
        <v>266.43</v>
      </c>
      <c r="O211" vm="2148">
        <f ca="1"/>
        <v>130.35</v>
      </c>
      <c r="P211" vm="3340">
        <f ca="1"/>
        <v>201.86</v>
      </c>
      <c r="Q211" vm="2964">
        <f ca="1"/>
        <v>90.91</v>
      </c>
      <c r="R211" vm="3341">
        <f ca="1"/>
        <v>141.5</v>
      </c>
    </row>
    <row r="212" spans="1:18" ht="20" customHeight="1" x14ac:dyDescent="0.2">
      <c r="A212" vm="3342">
        <f ca="1"/>
        <v>46265</v>
      </c>
      <c r="B212" vm="3343">
        <f ca="1"/>
        <v>335.41</v>
      </c>
      <c r="C212" vm="3344">
        <f ca="1"/>
        <v>84.89</v>
      </c>
      <c r="D212" vm="3345">
        <f ca="1"/>
        <v>258.72000000000003</v>
      </c>
      <c r="E212" vm="3346">
        <f ca="1"/>
        <v>103.14</v>
      </c>
      <c r="F212" vm="3347">
        <f ca="1"/>
        <v>88.67</v>
      </c>
      <c r="G212" vm="2395">
        <f ca="1"/>
        <v>9.18</v>
      </c>
      <c r="H212" vm="3348">
        <f ca="1"/>
        <v>104.87</v>
      </c>
      <c r="I212" vm="3349">
        <f ca="1"/>
        <v>507.29</v>
      </c>
      <c r="J212" vm="3350">
        <f ca="1"/>
        <v>316.85000000000002</v>
      </c>
      <c r="K212" vm="3351">
        <f ca="1"/>
        <v>370.34</v>
      </c>
      <c r="L212" vm="3352">
        <f ca="1"/>
        <v>97.29</v>
      </c>
      <c r="M212" vm="3353">
        <f ca="1"/>
        <v>943.89</v>
      </c>
      <c r="N212" vm="3354">
        <f ca="1"/>
        <v>259.77</v>
      </c>
      <c r="O212" vm="3355">
        <f ca="1"/>
        <v>132.49</v>
      </c>
      <c r="P212" vm="3356">
        <f ca="1"/>
        <v>206.14</v>
      </c>
      <c r="Q212" vm="3357">
        <f ca="1"/>
        <v>91.45</v>
      </c>
      <c r="R212" vm="3358">
        <f ca="1"/>
        <v>143.69</v>
      </c>
    </row>
    <row r="213" spans="1:18" ht="20" customHeight="1" x14ac:dyDescent="0.2">
      <c r="A213" vm="3359">
        <f ca="1"/>
        <v>46266</v>
      </c>
      <c r="B213" vm="3360">
        <f ca="1"/>
        <v>332.03</v>
      </c>
      <c r="C213" vm="3361">
        <f ca="1"/>
        <v>81.849999999999994</v>
      </c>
      <c r="D213" vm="3362">
        <f ca="1"/>
        <v>255.97</v>
      </c>
      <c r="E213" vm="2932">
        <f ca="1"/>
        <v>103.4</v>
      </c>
      <c r="F213" vm="1904">
        <f ca="1"/>
        <v>88</v>
      </c>
      <c r="G213" vm="3119">
        <f ca="1"/>
        <v>9.08</v>
      </c>
      <c r="H213" vm="3363">
        <f ca="1"/>
        <v>105.92</v>
      </c>
      <c r="I213" vm="3364">
        <f ca="1"/>
        <v>501.02</v>
      </c>
      <c r="J213" vm="3365">
        <f ca="1"/>
        <v>325.13</v>
      </c>
      <c r="K213" vm="3366">
        <f ca="1"/>
        <v>369.68</v>
      </c>
      <c r="L213" vm="3367">
        <f ca="1"/>
        <v>90.39</v>
      </c>
      <c r="M213" vm="3368">
        <f ca="1"/>
        <v>939.96</v>
      </c>
      <c r="N213" vm="3369">
        <f ca="1"/>
        <v>254.92</v>
      </c>
      <c r="O213" vm="3370">
        <f ca="1"/>
        <v>136.19</v>
      </c>
      <c r="P213" vm="3371">
        <f ca="1"/>
        <v>211.05</v>
      </c>
      <c r="Q213" vm="3372">
        <f ca="1"/>
        <v>93.51</v>
      </c>
      <c r="R213" vm="3373">
        <f ca="1"/>
        <v>142.22999999999999</v>
      </c>
    </row>
    <row r="214" spans="1:18" ht="20" customHeight="1" x14ac:dyDescent="0.2">
      <c r="A214" vm="3374">
        <f ca="1"/>
        <v>46267</v>
      </c>
      <c r="B214" vm="3375">
        <f ca="1"/>
        <v>333.78</v>
      </c>
      <c r="C214" vm="3376">
        <f ca="1"/>
        <v>80.930000000000007</v>
      </c>
      <c r="D214" vm="3377">
        <f ca="1"/>
        <v>256.7</v>
      </c>
      <c r="E214" vm="3378">
        <f ca="1"/>
        <v>104.94</v>
      </c>
      <c r="F214" vm="3379">
        <f ca="1"/>
        <v>88.24</v>
      </c>
      <c r="G214" vm="3380">
        <f ca="1"/>
        <v>9.35</v>
      </c>
      <c r="H214" vm="3381">
        <f ca="1"/>
        <v>106.09</v>
      </c>
      <c r="I214" vm="160">
        <f ca="1"/>
        <v>496.82</v>
      </c>
      <c r="J214" vm="3382">
        <f ca="1"/>
        <v>324.95999999999998</v>
      </c>
      <c r="K214" vm="3383">
        <f ca="1"/>
        <v>367.24</v>
      </c>
      <c r="L214" vm="3384">
        <f ca="1"/>
        <v>89.12</v>
      </c>
      <c r="M214" vm="3385">
        <f ca="1"/>
        <v>928.48</v>
      </c>
      <c r="N214" vm="3386">
        <f ca="1"/>
        <v>254.98</v>
      </c>
      <c r="O214" vm="3387">
        <f ca="1"/>
        <v>137.19999999999999</v>
      </c>
      <c r="P214" vm="3388">
        <f ca="1"/>
        <v>211.78</v>
      </c>
      <c r="Q214" vm="3389">
        <f ca="1"/>
        <v>92.8</v>
      </c>
      <c r="R214" vm="3390">
        <f ca="1"/>
        <v>140.71</v>
      </c>
    </row>
    <row r="215" spans="1:18" ht="20" customHeight="1" x14ac:dyDescent="0.2">
      <c r="A215" vm="3391">
        <f ca="1"/>
        <v>46268</v>
      </c>
      <c r="B215" vm="3392">
        <f ca="1"/>
        <v>339.08</v>
      </c>
      <c r="C215" vm="3393">
        <f ca="1"/>
        <v>84.56</v>
      </c>
      <c r="D215" vm="3394">
        <f ca="1"/>
        <v>268.83</v>
      </c>
      <c r="E215" vm="3395">
        <f ca="1"/>
        <v>106.46</v>
      </c>
      <c r="F215" vm="3396">
        <f ca="1"/>
        <v>88.81</v>
      </c>
      <c r="G215" vm="3397">
        <f ca="1"/>
        <v>9.57</v>
      </c>
      <c r="H215" vm="3398">
        <f ca="1"/>
        <v>108.42</v>
      </c>
      <c r="I215" vm="3399">
        <f ca="1"/>
        <v>510.12</v>
      </c>
      <c r="J215" vm="3400">
        <f ca="1"/>
        <v>328.21</v>
      </c>
      <c r="K215" vm="3401">
        <f ca="1"/>
        <v>357.16</v>
      </c>
      <c r="L215" vm="2319">
        <f ca="1"/>
        <v>92.95</v>
      </c>
      <c r="M215" vm="3402">
        <f ca="1"/>
        <v>925.41</v>
      </c>
      <c r="N215" vm="1777">
        <f ca="1"/>
        <v>258.89999999999998</v>
      </c>
      <c r="O215" vm="3403">
        <f ca="1"/>
        <v>135.72</v>
      </c>
      <c r="P215" vm="3404">
        <f ca="1"/>
        <v>211.32</v>
      </c>
      <c r="Q215" vm="3405">
        <f ca="1"/>
        <v>92.33</v>
      </c>
      <c r="R215" vm="3406">
        <f ca="1"/>
        <v>149.74</v>
      </c>
    </row>
    <row r="216" spans="1:18" ht="20" customHeight="1" x14ac:dyDescent="0.2">
      <c r="A216" vm="3407">
        <f ca="1"/>
        <v>46269</v>
      </c>
      <c r="B216" vm="3408">
        <f ca="1"/>
        <v>335.31</v>
      </c>
      <c r="C216" vm="3409">
        <f ca="1"/>
        <v>89.36</v>
      </c>
      <c r="D216" vm="3410">
        <f ca="1"/>
        <v>280.52999999999997</v>
      </c>
      <c r="E216" vm="308">
        <f ca="1"/>
        <v>107.11</v>
      </c>
      <c r="F216" vm="3411">
        <f ca="1"/>
        <v>88.07</v>
      </c>
      <c r="G216" vm="3412">
        <f ca="1"/>
        <v>9.6</v>
      </c>
      <c r="H216" vm="3413">
        <f ca="1"/>
        <v>107.14</v>
      </c>
      <c r="I216" vm="3414">
        <f ca="1"/>
        <v>499.7</v>
      </c>
      <c r="J216" vm="3415">
        <f ca="1"/>
        <v>319.97000000000003</v>
      </c>
      <c r="K216" vm="3416">
        <f ca="1"/>
        <v>357.89499999999998</v>
      </c>
      <c r="L216" vm="2393">
        <f ca="1"/>
        <v>92.62</v>
      </c>
      <c r="M216" vm="3417">
        <f ca="1"/>
        <v>915.74</v>
      </c>
      <c r="N216" vm="3418">
        <f ca="1"/>
        <v>258.51</v>
      </c>
      <c r="O216" vm="3419">
        <f ca="1"/>
        <v>134.26</v>
      </c>
      <c r="P216" vm="3420">
        <f ca="1"/>
        <v>208.6</v>
      </c>
      <c r="Q216" vm="2319">
        <f ca="1"/>
        <v>92.95</v>
      </c>
      <c r="R216" vm="3421">
        <f ca="1"/>
        <v>147.94999999999999</v>
      </c>
    </row>
    <row r="217" spans="1:18" ht="20" customHeight="1" x14ac:dyDescent="0.2">
      <c r="A217" vm="3422">
        <f ca="1"/>
        <v>46273</v>
      </c>
      <c r="B217" vm="3423">
        <f ca="1"/>
        <v>335.38</v>
      </c>
      <c r="C217" vm="3424">
        <f ca="1"/>
        <v>99.83</v>
      </c>
      <c r="D217" vm="3425">
        <f ca="1"/>
        <v>290.83</v>
      </c>
      <c r="E217" vm="3426">
        <f ca="1"/>
        <v>106.26</v>
      </c>
      <c r="F217" vm="1499">
        <f ca="1"/>
        <v>88.36</v>
      </c>
      <c r="G217" vm="2240">
        <f ca="1"/>
        <v>9.43</v>
      </c>
      <c r="H217" vm="3427">
        <f ca="1"/>
        <v>106.05</v>
      </c>
      <c r="I217" vm="3428">
        <f ca="1"/>
        <v>493.95</v>
      </c>
      <c r="J217" vm="2764">
        <f ca="1"/>
        <v>316.22000000000003</v>
      </c>
      <c r="K217" vm="3429">
        <f ca="1"/>
        <v>368.56</v>
      </c>
      <c r="L217" vm="3430">
        <f ca="1"/>
        <v>90.97</v>
      </c>
      <c r="M217" vm="3431">
        <f ca="1"/>
        <v>910.18</v>
      </c>
      <c r="N217" vm="3432">
        <f ca="1"/>
        <v>256.97000000000003</v>
      </c>
      <c r="O217" vm="3433">
        <f ca="1"/>
        <v>135.04</v>
      </c>
      <c r="P217" vm="3434">
        <f ca="1"/>
        <v>209.8</v>
      </c>
      <c r="Q217" vm="3435">
        <f ca="1"/>
        <v>95.32</v>
      </c>
      <c r="R217" vm="3436">
        <f ca="1"/>
        <v>153.47</v>
      </c>
    </row>
    <row r="218" spans="1:18" ht="20" customHeight="1" x14ac:dyDescent="0.2">
      <c r="A218" vm="3437">
        <f ca="1"/>
        <v>46274</v>
      </c>
      <c r="B218" vm="942">
        <f ca="1"/>
        <v>328.38</v>
      </c>
      <c r="C218" vm="3438">
        <f ca="1"/>
        <v>94.94</v>
      </c>
      <c r="D218" vm="3439">
        <f ca="1"/>
        <v>262.89</v>
      </c>
      <c r="E218" vm="3440">
        <f ca="1"/>
        <v>105.11</v>
      </c>
      <c r="F218" vm="3441">
        <f ca="1"/>
        <v>87.55</v>
      </c>
      <c r="G218" vm="3136">
        <f ca="1"/>
        <v>9.34</v>
      </c>
      <c r="H218" vm="3442">
        <f ca="1"/>
        <v>105.83</v>
      </c>
      <c r="I218" vm="3443">
        <f ca="1"/>
        <v>491.65</v>
      </c>
      <c r="J218" vm="3444">
        <f ca="1"/>
        <v>315.33999999999997</v>
      </c>
      <c r="K218" vm="3445">
        <f ca="1"/>
        <v>364.38</v>
      </c>
      <c r="L218" vm="3446">
        <f ca="1"/>
        <v>90.28</v>
      </c>
      <c r="M218" vm="3447">
        <f ca="1"/>
        <v>902.6</v>
      </c>
      <c r="N218" vm="1644">
        <f ca="1"/>
        <v>252.4</v>
      </c>
      <c r="O218" vm="3448">
        <f ca="1"/>
        <v>136.53</v>
      </c>
      <c r="P218" vm="3449">
        <f ca="1"/>
        <v>213.81</v>
      </c>
      <c r="Q218" vm="3450">
        <f ca="1"/>
        <v>95.6</v>
      </c>
      <c r="R218" vm="3451">
        <f ca="1"/>
        <v>147.55000000000001</v>
      </c>
    </row>
    <row r="219" spans="1:18" ht="20" customHeight="1" x14ac:dyDescent="0.2">
      <c r="A219" vm="3452">
        <f ca="1"/>
        <v>46275</v>
      </c>
      <c r="B219" vm="3453">
        <f ca="1"/>
        <v>330.39</v>
      </c>
      <c r="C219" vm="3384">
        <f ca="1"/>
        <v>89.12</v>
      </c>
      <c r="D219" vm="3454">
        <f ca="1"/>
        <v>248.13</v>
      </c>
      <c r="E219" vm="2958">
        <f ca="1"/>
        <v>103.7</v>
      </c>
      <c r="F219" vm="3091">
        <f ca="1"/>
        <v>87.83</v>
      </c>
      <c r="G219" vm="3455">
        <f ca="1"/>
        <v>9.15</v>
      </c>
      <c r="H219" vm="3456">
        <f ca="1"/>
        <v>105.73</v>
      </c>
      <c r="I219" vm="3457">
        <f ca="1"/>
        <v>492.44</v>
      </c>
      <c r="J219" vm="2943">
        <f ca="1"/>
        <v>326.57</v>
      </c>
      <c r="K219" vm="3458">
        <f ca="1"/>
        <v>360.83</v>
      </c>
      <c r="L219" vm="232">
        <f ca="1"/>
        <v>89.42</v>
      </c>
      <c r="M219" vm="3459">
        <f ca="1"/>
        <v>902.38</v>
      </c>
      <c r="N219" vm="3460">
        <f ca="1"/>
        <v>251.89</v>
      </c>
      <c r="O219" vm="3461">
        <f ca="1"/>
        <v>137.04</v>
      </c>
      <c r="P219" vm="3462">
        <f ca="1"/>
        <v>212.76</v>
      </c>
      <c r="Q219" vm="3463">
        <f ca="1"/>
        <v>95.96</v>
      </c>
      <c r="R219" vm="3464">
        <f ca="1"/>
        <v>148.18</v>
      </c>
    </row>
    <row r="220" spans="1:18" ht="20" customHeight="1" x14ac:dyDescent="0.2">
      <c r="A220" vm="3465">
        <f ca="1"/>
        <v>46276</v>
      </c>
      <c r="B220" vm="3466">
        <f ca="1"/>
        <v>335.45</v>
      </c>
      <c r="C220" vm="3467">
        <f ca="1"/>
        <v>88.99</v>
      </c>
      <c r="D220" vm="3468">
        <f ca="1"/>
        <v>257.06</v>
      </c>
      <c r="E220" vm="3469">
        <f ca="1"/>
        <v>105.3</v>
      </c>
      <c r="F220" vm="3470">
        <f ca="1"/>
        <v>88.29</v>
      </c>
      <c r="G220" vm="2364">
        <f ca="1"/>
        <v>9.36</v>
      </c>
      <c r="H220" vm="3471">
        <f ca="1"/>
        <v>107.15</v>
      </c>
      <c r="I220" vm="3472">
        <f ca="1"/>
        <v>495.63</v>
      </c>
      <c r="J220" vm="3473">
        <f ca="1"/>
        <v>332.27</v>
      </c>
      <c r="K220" vm="3474">
        <f ca="1"/>
        <v>361.99</v>
      </c>
      <c r="L220" vm="249">
        <f ca="1"/>
        <v>91.37</v>
      </c>
      <c r="M220" vm="3475">
        <f ca="1"/>
        <v>904.77</v>
      </c>
      <c r="N220" vm="3476">
        <f ca="1"/>
        <v>256.77999999999997</v>
      </c>
      <c r="O220" vm="3477">
        <f ca="1"/>
        <v>137.35</v>
      </c>
      <c r="P220" vm="3478">
        <f ca="1"/>
        <v>214.06</v>
      </c>
      <c r="Q220" vm="3479">
        <f ca="1"/>
        <v>96.77</v>
      </c>
      <c r="R220" vm="3480">
        <f ca="1"/>
        <v>151.21</v>
      </c>
    </row>
    <row r="221" spans="1:18" ht="20" customHeight="1" x14ac:dyDescent="0.2">
      <c r="A221" vm="3481">
        <f ca="1"/>
        <v>46279</v>
      </c>
      <c r="B221" vm="3482">
        <f ca="1"/>
        <v>345.71</v>
      </c>
      <c r="C221" vm="3483">
        <f ca="1"/>
        <v>82.98</v>
      </c>
      <c r="D221" vm="3484">
        <f ca="1"/>
        <v>237.39</v>
      </c>
      <c r="E221" vm="3485">
        <f ca="1"/>
        <v>103.94</v>
      </c>
      <c r="F221" vm="3486">
        <f ca="1"/>
        <v>89.35</v>
      </c>
      <c r="G221" vm="2100">
        <f ca="1"/>
        <v>8.84</v>
      </c>
      <c r="H221" vm="3487">
        <f ca="1"/>
        <v>109.08</v>
      </c>
      <c r="I221" vm="3488">
        <f ca="1"/>
        <v>505.41</v>
      </c>
      <c r="J221" vm="3489">
        <f ca="1"/>
        <v>333.08</v>
      </c>
      <c r="K221" vm="3490">
        <f ca="1"/>
        <v>344.72</v>
      </c>
      <c r="L221" vm="3491">
        <f ca="1"/>
        <v>90.75</v>
      </c>
      <c r="M221" vm="3492">
        <f ca="1"/>
        <v>918.91</v>
      </c>
      <c r="N221" vm="3493">
        <f ca="1"/>
        <v>253.54</v>
      </c>
      <c r="O221" vm="3494">
        <f ca="1"/>
        <v>136.66999999999999</v>
      </c>
      <c r="P221" vm="3495">
        <f ca="1"/>
        <v>212.17</v>
      </c>
      <c r="Q221" vm="3496">
        <f ca="1"/>
        <v>96.45</v>
      </c>
      <c r="R221" vm="3497">
        <f ca="1"/>
        <v>148.15</v>
      </c>
    </row>
    <row r="222" spans="1:18" ht="20" customHeight="1" x14ac:dyDescent="0.2">
      <c r="A222" vm="3498">
        <f ca="1"/>
        <v>46280</v>
      </c>
      <c r="B222" vm="3499">
        <f ca="1"/>
        <v>341.43</v>
      </c>
      <c r="C222" vm="3500">
        <f ca="1"/>
        <v>80.92</v>
      </c>
      <c r="D222" vm="3501">
        <f ca="1"/>
        <v>234.61</v>
      </c>
      <c r="E222" vm="3502">
        <f ca="1"/>
        <v>102.22</v>
      </c>
      <c r="F222" vm="3503">
        <f ca="1"/>
        <v>88.71</v>
      </c>
      <c r="G222" vm="3039">
        <f ca="1"/>
        <v>8.8699999999999992</v>
      </c>
      <c r="H222" vm="3504">
        <f ca="1"/>
        <v>108.09</v>
      </c>
      <c r="I222" vm="3505">
        <f ca="1"/>
        <v>497.12</v>
      </c>
      <c r="J222" vm="3506">
        <f ca="1"/>
        <v>331.34</v>
      </c>
      <c r="K222" vm="3507">
        <f ca="1"/>
        <v>339.27</v>
      </c>
      <c r="L222" vm="3508">
        <f ca="1"/>
        <v>88.8</v>
      </c>
      <c r="M222" vm="3509">
        <f ca="1"/>
        <v>901.35</v>
      </c>
      <c r="N222" vm="3510">
        <f ca="1"/>
        <v>248.42</v>
      </c>
      <c r="O222" vm="3511">
        <f ca="1"/>
        <v>141.22</v>
      </c>
      <c r="P222" vm="3512">
        <f ca="1"/>
        <v>217.77</v>
      </c>
      <c r="Q222" vm="3513">
        <f ca="1"/>
        <v>98.95</v>
      </c>
      <c r="R222" vm="3514">
        <f ca="1"/>
        <v>143.49</v>
      </c>
    </row>
    <row r="223" spans="1:18" ht="20" customHeight="1" x14ac:dyDescent="0.2">
      <c r="A223" vm="3515">
        <f ca="1"/>
        <v>46281</v>
      </c>
      <c r="B223" vm="3516">
        <f ca="1"/>
        <v>339.36</v>
      </c>
      <c r="C223" vm="3517">
        <f ca="1"/>
        <v>83.35</v>
      </c>
      <c r="D223" vm="3518">
        <f ca="1"/>
        <v>239.41</v>
      </c>
      <c r="E223" vm="3519">
        <f ca="1"/>
        <v>100.84</v>
      </c>
      <c r="F223" vm="3520">
        <f ca="1"/>
        <v>87.87</v>
      </c>
      <c r="G223" vm="3039">
        <f ca="1"/>
        <v>8.8699999999999992</v>
      </c>
      <c r="H223" vm="1177">
        <f ca="1"/>
        <v>107.5</v>
      </c>
      <c r="I223" vm="3521">
        <f ca="1"/>
        <v>490.3</v>
      </c>
      <c r="J223" vm="3522">
        <f ca="1"/>
        <v>332.41</v>
      </c>
      <c r="K223" vm="3523">
        <f ca="1"/>
        <v>339.51</v>
      </c>
      <c r="L223" vm="3524">
        <f ca="1"/>
        <v>86.74</v>
      </c>
      <c r="M223" vm="3525">
        <f ca="1"/>
        <v>893.74</v>
      </c>
      <c r="N223" vm="3526">
        <f ca="1"/>
        <v>245.96</v>
      </c>
      <c r="O223" vm="3527">
        <f ca="1"/>
        <v>132.54</v>
      </c>
      <c r="P223" vm="3528">
        <f ca="1"/>
        <v>211.54</v>
      </c>
      <c r="Q223" vm="1197">
        <f ca="1"/>
        <v>95.7</v>
      </c>
      <c r="R223" vm="3529">
        <f ca="1"/>
        <v>150.88</v>
      </c>
    </row>
    <row r="224" spans="1:18" ht="20" customHeight="1" x14ac:dyDescent="0.2">
      <c r="A224" vm="3530">
        <f ca="1"/>
        <v>46282</v>
      </c>
      <c r="B224" vm="3531">
        <f ca="1"/>
        <v>343.68</v>
      </c>
      <c r="C224" vm="3532">
        <f ca="1"/>
        <v>79.88</v>
      </c>
      <c r="D224" vm="3533">
        <f ca="1"/>
        <v>241.49</v>
      </c>
      <c r="E224" vm="3534">
        <f ca="1"/>
        <v>102.84</v>
      </c>
      <c r="F224" vm="3535">
        <f ca="1"/>
        <v>88.06</v>
      </c>
      <c r="G224" vm="3536">
        <f ca="1"/>
        <v>9.16</v>
      </c>
      <c r="H224" vm="3537">
        <f ca="1"/>
        <v>106.79</v>
      </c>
      <c r="I224" vm="3538">
        <f ca="1"/>
        <v>497.75</v>
      </c>
      <c r="J224" vm="3539">
        <f ca="1"/>
        <v>337</v>
      </c>
      <c r="K224" vm="3540">
        <f ca="1"/>
        <v>347.3</v>
      </c>
      <c r="L224" vm="2193">
        <f ca="1"/>
        <v>88.38</v>
      </c>
      <c r="M224" vm="3541">
        <f ca="1"/>
        <v>893.93</v>
      </c>
      <c r="N224" vm="3542">
        <f ca="1"/>
        <v>251.19</v>
      </c>
      <c r="O224" vm="3543">
        <f ca="1"/>
        <v>133.19</v>
      </c>
      <c r="P224" vm="3544">
        <f ca="1"/>
        <v>211.57</v>
      </c>
      <c r="Q224" vm="3545">
        <f ca="1"/>
        <v>95.82</v>
      </c>
      <c r="R224" vm="3546">
        <f ca="1"/>
        <v>154.81</v>
      </c>
    </row>
    <row r="225" spans="1:18" ht="20" customHeight="1" x14ac:dyDescent="0.2">
      <c r="A225" vm="3547">
        <f ca="1"/>
        <v>46283</v>
      </c>
      <c r="B225" vm="3548">
        <f ca="1"/>
        <v>344.41</v>
      </c>
      <c r="C225" vm="3549">
        <f ca="1"/>
        <v>81.36</v>
      </c>
      <c r="D225" vm="3550">
        <f ca="1"/>
        <v>249.39</v>
      </c>
      <c r="E225" vm="3551">
        <f ca="1"/>
        <v>101.83</v>
      </c>
      <c r="F225" vm="3552">
        <f ca="1"/>
        <v>88.25</v>
      </c>
      <c r="G225" vm="3536">
        <f ca="1"/>
        <v>9.16</v>
      </c>
      <c r="H225" vm="3553">
        <f ca="1"/>
        <v>106.73</v>
      </c>
      <c r="I225" vm="3554">
        <f ca="1"/>
        <v>493.78</v>
      </c>
      <c r="J225" vm="3555">
        <f ca="1"/>
        <v>336.13</v>
      </c>
      <c r="K225" vm="3556">
        <f ca="1"/>
        <v>357.61</v>
      </c>
      <c r="L225" vm="200">
        <f ca="1"/>
        <v>90.69</v>
      </c>
      <c r="M225" vm="3557">
        <f ca="1"/>
        <v>895.31</v>
      </c>
      <c r="N225" vm="3558">
        <f ca="1"/>
        <v>253.71</v>
      </c>
      <c r="O225" vm="3559">
        <f ca="1"/>
        <v>131.83000000000001</v>
      </c>
      <c r="P225" vm="3560">
        <f ca="1"/>
        <v>209.51</v>
      </c>
      <c r="Q225" vm="3561">
        <f ca="1"/>
        <v>94.54</v>
      </c>
      <c r="R225" vm="3562">
        <f ca="1"/>
        <v>152.71</v>
      </c>
    </row>
    <row r="226" spans="1:18" ht="20" customHeight="1" x14ac:dyDescent="0.2">
      <c r="A226" vm="3563">
        <f ca="1"/>
        <v>46286</v>
      </c>
      <c r="B226" vm="3564">
        <f ca="1"/>
        <v>350.87</v>
      </c>
      <c r="C226" vm="205">
        <f ca="1"/>
        <v>85.43</v>
      </c>
      <c r="D226" vm="3565">
        <f ca="1"/>
        <v>250.86</v>
      </c>
      <c r="E226" vm="3117">
        <f ca="1"/>
        <v>103.21</v>
      </c>
      <c r="F226" vm="3566">
        <f ca="1"/>
        <v>87.12</v>
      </c>
      <c r="G226" vm="2349">
        <f ca="1"/>
        <v>9.51</v>
      </c>
      <c r="H226" vm="3567">
        <f ca="1"/>
        <v>107.44</v>
      </c>
      <c r="I226" vm="3568">
        <f ca="1"/>
        <v>501.61</v>
      </c>
      <c r="J226" vm="3569">
        <f ca="1"/>
        <v>338.98</v>
      </c>
      <c r="K226" vm="3570">
        <f ca="1"/>
        <v>362.66</v>
      </c>
      <c r="L226" vm="3571">
        <f ca="1"/>
        <v>93.21</v>
      </c>
      <c r="M226" vm="3572">
        <f ca="1"/>
        <v>898.48</v>
      </c>
      <c r="N226" vm="3573">
        <f ca="1"/>
        <v>258.45</v>
      </c>
      <c r="O226" vm="3574">
        <f ca="1"/>
        <v>127.53</v>
      </c>
      <c r="P226" vm="3575">
        <f ca="1"/>
        <v>203.67</v>
      </c>
      <c r="Q226" vm="3576">
        <f ca="1"/>
        <v>93.27</v>
      </c>
      <c r="R226" vm="3577">
        <f ca="1"/>
        <v>151.85</v>
      </c>
    </row>
    <row r="227" spans="1:18" ht="20" customHeight="1" x14ac:dyDescent="0.2">
      <c r="A227" vm="3578">
        <f ca="1"/>
        <v>46287</v>
      </c>
      <c r="B227" vm="3579">
        <f ca="1"/>
        <v>347.41</v>
      </c>
      <c r="C227" vm="3580">
        <f ca="1"/>
        <v>86.76</v>
      </c>
      <c r="D227" vm="3581">
        <f ca="1"/>
        <v>253.46</v>
      </c>
      <c r="E227" vm="92">
        <f ca="1"/>
        <v>101.59</v>
      </c>
      <c r="F227" vm="3582">
        <f ca="1"/>
        <v>88.61</v>
      </c>
      <c r="G227" vm="3412">
        <f ca="1"/>
        <v>9.6</v>
      </c>
      <c r="H227" vm="3583">
        <f ca="1"/>
        <v>110.12</v>
      </c>
      <c r="I227" vm="3584">
        <f ca="1"/>
        <v>498</v>
      </c>
      <c r="J227" vm="3585">
        <f ca="1"/>
        <v>339.75</v>
      </c>
      <c r="K227" vm="3586">
        <f ca="1"/>
        <v>364.54</v>
      </c>
      <c r="L227" vm="1641">
        <f ca="1"/>
        <v>91.88</v>
      </c>
      <c r="M227" vm="3587">
        <f ca="1"/>
        <v>899.41</v>
      </c>
      <c r="N227" vm="3386">
        <f ca="1"/>
        <v>254.98</v>
      </c>
      <c r="O227" vm="3588">
        <f ca="1"/>
        <v>125.27</v>
      </c>
      <c r="P227" vm="3589">
        <f ca="1"/>
        <v>202.41</v>
      </c>
      <c r="Q227" vm="3590">
        <f ca="1"/>
        <v>93.93</v>
      </c>
      <c r="R227" vm="3591">
        <f ca="1"/>
        <v>154.72</v>
      </c>
    </row>
    <row r="228" spans="1:18" ht="20" customHeight="1" x14ac:dyDescent="0.2">
      <c r="A228" vm="3592">
        <f ca="1"/>
        <v>46288</v>
      </c>
      <c r="B228" vm="3593">
        <f ca="1"/>
        <v>334.98</v>
      </c>
      <c r="C228" vm="3594">
        <f ca="1"/>
        <v>86.9</v>
      </c>
      <c r="D228" vm="3595">
        <f ca="1"/>
        <v>248.78</v>
      </c>
      <c r="E228" vm="3596">
        <f ca="1"/>
        <v>100.25</v>
      </c>
      <c r="F228" vm="3597">
        <f ca="1"/>
        <v>88.09</v>
      </c>
      <c r="G228" vm="3598">
        <f ca="1"/>
        <v>9.4</v>
      </c>
      <c r="H228" vm="1284">
        <f ca="1"/>
        <v>110.53</v>
      </c>
      <c r="I228" vm="3599">
        <f ca="1"/>
        <v>500.59</v>
      </c>
      <c r="J228" vm="3600">
        <f ca="1"/>
        <v>337.02</v>
      </c>
      <c r="K228" vm="3601">
        <f ca="1"/>
        <v>354.99</v>
      </c>
      <c r="L228" vm="3602">
        <f ca="1"/>
        <v>91.56</v>
      </c>
      <c r="M228" vm="3603">
        <f ca="1"/>
        <v>904.7</v>
      </c>
      <c r="N228" vm="3604">
        <f ca="1"/>
        <v>249.27</v>
      </c>
      <c r="O228" vm="3605">
        <f ca="1"/>
        <v>128.09</v>
      </c>
      <c r="P228" vm="3606">
        <f ca="1"/>
        <v>205.51</v>
      </c>
      <c r="Q228" vm="3607">
        <f ca="1"/>
        <v>95.41</v>
      </c>
      <c r="R228" vm="3608">
        <f ca="1"/>
        <v>148.36000000000001</v>
      </c>
    </row>
    <row r="229" spans="1:18" ht="20" customHeight="1" x14ac:dyDescent="0.2">
      <c r="A229" vm="3609">
        <f ca="1"/>
        <v>46289</v>
      </c>
      <c r="B229" vm="3610">
        <f ca="1"/>
        <v>339.01</v>
      </c>
      <c r="C229" vm="2049">
        <f ca="1"/>
        <v>90.13</v>
      </c>
      <c r="D229" vm="3611">
        <f ca="1"/>
        <v>245.3</v>
      </c>
      <c r="E229" vm="3612">
        <f ca="1"/>
        <v>100.17</v>
      </c>
      <c r="F229" vm="1244">
        <f ca="1"/>
        <v>88.1</v>
      </c>
      <c r="G229" vm="3613">
        <f ca="1"/>
        <v>9.3000000000000007</v>
      </c>
      <c r="H229" vm="1115">
        <f ca="1"/>
        <v>107.59</v>
      </c>
      <c r="I229" vm="3614">
        <f ca="1"/>
        <v>497.93</v>
      </c>
      <c r="J229" vm="3615">
        <f ca="1"/>
        <v>335.92</v>
      </c>
      <c r="K229" vm="3616">
        <f ca="1"/>
        <v>350.36</v>
      </c>
      <c r="L229" vm="2636">
        <f ca="1"/>
        <v>89.82</v>
      </c>
      <c r="M229" vm="3617">
        <f ca="1"/>
        <v>896.48</v>
      </c>
      <c r="N229" vm="3618">
        <f ca="1"/>
        <v>249.38</v>
      </c>
      <c r="O229" vm="3619">
        <f ca="1"/>
        <v>129.34</v>
      </c>
      <c r="P229" vm="3620">
        <f ca="1"/>
        <v>205.65</v>
      </c>
      <c r="Q229" vm="3450">
        <f ca="1"/>
        <v>95.6</v>
      </c>
      <c r="R229" vm="3621">
        <f ca="1"/>
        <v>148.03</v>
      </c>
    </row>
    <row r="230" spans="1:18" ht="20" customHeight="1" x14ac:dyDescent="0.2">
      <c r="A230" vm="3622">
        <f ca="1"/>
        <v>46290</v>
      </c>
      <c r="B230" vm="3623">
        <f ca="1"/>
        <v>341.08</v>
      </c>
      <c r="C230" vm="1998">
        <f ca="1"/>
        <v>87.59</v>
      </c>
      <c r="D230" vm="3624">
        <f ca="1"/>
        <v>253.28</v>
      </c>
      <c r="E230" vm="3625">
        <f ca="1"/>
        <v>100.95</v>
      </c>
      <c r="F230" vm="1888">
        <f ca="1"/>
        <v>87.81</v>
      </c>
      <c r="G230" vm="3626">
        <f ca="1"/>
        <v>9.39</v>
      </c>
      <c r="H230" vm="3627">
        <f ca="1"/>
        <v>107.98</v>
      </c>
      <c r="I230" vm="3628">
        <f ca="1"/>
        <v>516.16999999999996</v>
      </c>
      <c r="J230" vm="3629">
        <f ca="1"/>
        <v>341.07</v>
      </c>
      <c r="K230" vm="3630">
        <f ca="1"/>
        <v>352.81</v>
      </c>
      <c r="L230" vm="3631">
        <f ca="1"/>
        <v>89.24</v>
      </c>
      <c r="M230" vm="3632">
        <f ca="1"/>
        <v>922.76499999999999</v>
      </c>
      <c r="N230" vm="3633">
        <f ca="1"/>
        <v>249.67</v>
      </c>
      <c r="O230" vm="3143">
        <f ca="1"/>
        <v>127.3</v>
      </c>
      <c r="P230" vm="3634">
        <f ca="1"/>
        <v>204.45</v>
      </c>
      <c r="Q230" vm="3635">
        <f ca="1"/>
        <v>95.78</v>
      </c>
      <c r="R230" vm="3636">
        <f ca="1"/>
        <v>148.68</v>
      </c>
    </row>
    <row r="231" spans="1:18" ht="20" customHeight="1" x14ac:dyDescent="0.2">
      <c r="A231" vm="3637">
        <f ca="1"/>
        <v>46293</v>
      </c>
      <c r="B231" vm="3638">
        <f ca="1"/>
        <v>339.16</v>
      </c>
      <c r="C231" vm="3639">
        <f ca="1"/>
        <v>85.07</v>
      </c>
      <c r="D231" vm="3640">
        <f ca="1"/>
        <v>244.04</v>
      </c>
      <c r="E231" vm="75">
        <f ca="1"/>
        <v>101.18</v>
      </c>
      <c r="F231" vm="3641">
        <f ca="1"/>
        <v>87.18</v>
      </c>
      <c r="G231" vm="3086">
        <f ca="1"/>
        <v>9.5399999999999991</v>
      </c>
      <c r="H231" vm="3642">
        <f ca="1"/>
        <v>108.73</v>
      </c>
      <c r="I231" vm="3643">
        <f ca="1"/>
        <v>509.22</v>
      </c>
      <c r="J231" vm="3644">
        <f ca="1"/>
        <v>338.4</v>
      </c>
      <c r="K231" vm="3645">
        <f ca="1"/>
        <v>349.57</v>
      </c>
      <c r="L231" vm="3646">
        <f ca="1"/>
        <v>87.08</v>
      </c>
      <c r="M231" vm="3647">
        <f ca="1"/>
        <v>922.92</v>
      </c>
      <c r="N231" vm="3648">
        <f ca="1"/>
        <v>246.15</v>
      </c>
      <c r="O231" vm="3649">
        <f ca="1"/>
        <v>126.04</v>
      </c>
      <c r="P231" vm="3650">
        <f ca="1"/>
        <v>206.37</v>
      </c>
      <c r="Q231" vm="3651">
        <f ca="1"/>
        <v>96.47</v>
      </c>
      <c r="R231" vm="3652">
        <f ca="1"/>
        <v>145.47</v>
      </c>
    </row>
    <row r="232" spans="1:18" ht="20" customHeight="1" x14ac:dyDescent="0.2">
      <c r="A232" vm="3653">
        <f ca="1"/>
        <v>46294</v>
      </c>
      <c r="B232" vm="3654">
        <f ca="1"/>
        <v>337.32</v>
      </c>
      <c r="C232" vm="3655">
        <f ca="1"/>
        <v>85.93</v>
      </c>
      <c r="D232" vm="3656">
        <f ca="1"/>
        <v>248.34</v>
      </c>
      <c r="E232" vm="3657">
        <f ca="1"/>
        <v>100.72</v>
      </c>
      <c r="F232" vm="1259">
        <f ca="1"/>
        <v>86.84</v>
      </c>
      <c r="G232" vm="3658">
        <f ca="1"/>
        <v>9.52</v>
      </c>
      <c r="H232" vm="3659">
        <f ca="1"/>
        <v>106.8</v>
      </c>
      <c r="I232" vm="3660">
        <f ca="1"/>
        <v>508.96</v>
      </c>
      <c r="J232" vm="3661">
        <f ca="1"/>
        <v>329.4</v>
      </c>
      <c r="K232" vm="3662">
        <f ca="1"/>
        <v>355.1</v>
      </c>
      <c r="L232" vm="3663">
        <f ca="1"/>
        <v>86.18</v>
      </c>
      <c r="M232" vm="3664">
        <f ca="1"/>
        <v>924.59</v>
      </c>
      <c r="N232" vm="3665">
        <f ca="1"/>
        <v>246.67</v>
      </c>
      <c r="O232" vm="3666">
        <f ca="1"/>
        <v>125.44</v>
      </c>
      <c r="P232" vm="3667">
        <f ca="1"/>
        <v>204.38</v>
      </c>
      <c r="Q232" vm="3668">
        <f ca="1"/>
        <v>95.14</v>
      </c>
      <c r="R232" vm="3669">
        <f ca="1"/>
        <v>149.24</v>
      </c>
    </row>
    <row r="233" spans="1:18" ht="20" customHeight="1" x14ac:dyDescent="0.2">
      <c r="A233" vm="3670">
        <f ca="1"/>
        <v>46295</v>
      </c>
      <c r="B233" vm="3671">
        <f ca="1"/>
        <v>340.74</v>
      </c>
      <c r="C233" vm="3566">
        <f ca="1"/>
        <v>87.12</v>
      </c>
      <c r="D233" vm="3672">
        <f ca="1"/>
        <v>241.31</v>
      </c>
      <c r="E233" vm="3673">
        <f ca="1"/>
        <v>99.31</v>
      </c>
      <c r="F233" vm="3674">
        <f ca="1"/>
        <v>86.08</v>
      </c>
      <c r="G233" vm="3675">
        <f ca="1"/>
        <v>9.69</v>
      </c>
      <c r="H233" vm="3676">
        <f ca="1"/>
        <v>103.92</v>
      </c>
      <c r="I233" vm="3677">
        <f ca="1"/>
        <v>512.9</v>
      </c>
      <c r="J233" vm="2936">
        <f ca="1"/>
        <v>333.02</v>
      </c>
      <c r="K233" vm="3678">
        <f ca="1"/>
        <v>351.19</v>
      </c>
      <c r="L233" vm="2459">
        <f ca="1"/>
        <v>85.42</v>
      </c>
      <c r="M233" vm="3679">
        <f ca="1"/>
        <v>910.34</v>
      </c>
      <c r="N233" vm="3680">
        <f ca="1"/>
        <v>249.15</v>
      </c>
      <c r="O233" vm="3681">
        <f ca="1"/>
        <v>125.15</v>
      </c>
      <c r="P233" vm="3682">
        <f ca="1"/>
        <v>204.21</v>
      </c>
      <c r="Q233" vm="3683">
        <f ca="1"/>
        <v>95.05</v>
      </c>
      <c r="R233" vm="3684">
        <f ca="1"/>
        <v>150.86000000000001</v>
      </c>
    </row>
    <row r="234" spans="1:18" ht="20" customHeight="1" x14ac:dyDescent="0.2">
      <c r="A234" vm="3685">
        <f ca="1"/>
        <v>46296</v>
      </c>
      <c r="B234" vm="3686">
        <f ca="1"/>
        <v>334.93</v>
      </c>
      <c r="C234" vm="99">
        <f ca="1"/>
        <v>88.57</v>
      </c>
      <c r="D234" vm="3687">
        <f ca="1"/>
        <v>246.12</v>
      </c>
      <c r="E234" vm="3545">
        <f ca="1"/>
        <v>95.82</v>
      </c>
      <c r="F234" vm="3688">
        <f ca="1"/>
        <v>86.1</v>
      </c>
      <c r="G234" vm="3689">
        <f ca="1"/>
        <v>9.64</v>
      </c>
      <c r="H234" vm="3690">
        <f ca="1"/>
        <v>104.26</v>
      </c>
      <c r="I234" vm="3691">
        <f ca="1"/>
        <v>512.79999999999995</v>
      </c>
      <c r="J234" vm="3692">
        <f ca="1"/>
        <v>330.32</v>
      </c>
      <c r="K234" vm="3693">
        <f ca="1"/>
        <v>343.64</v>
      </c>
      <c r="L234" vm="3694">
        <f ca="1"/>
        <v>85.81</v>
      </c>
      <c r="M234" vm="3695">
        <f ca="1"/>
        <v>914.94</v>
      </c>
      <c r="N234" vm="3696">
        <f ca="1"/>
        <v>248.23</v>
      </c>
      <c r="O234" vm="3697">
        <f ca="1"/>
        <v>127.06</v>
      </c>
      <c r="P234" vm="3698">
        <f ca="1"/>
        <v>207.1</v>
      </c>
      <c r="Q234" vm="2450">
        <f ca="1"/>
        <v>95.61</v>
      </c>
      <c r="R234" vm="3699">
        <f ca="1"/>
        <v>148.07</v>
      </c>
    </row>
    <row r="235" spans="1:18" ht="20" customHeight="1" x14ac:dyDescent="0.2">
      <c r="A235" vm="3700">
        <f ca="1"/>
        <v>46297</v>
      </c>
      <c r="B235" vm="3701">
        <f ca="1"/>
        <v>340.35</v>
      </c>
      <c r="C235" vm="3702">
        <f ca="1"/>
        <v>89.62</v>
      </c>
      <c r="D235" vm="3703">
        <f ca="1"/>
        <v>252.18</v>
      </c>
      <c r="E235" vm="3704">
        <f ca="1"/>
        <v>96.14</v>
      </c>
      <c r="F235" vm="3705">
        <f ca="1"/>
        <v>85.65</v>
      </c>
      <c r="G235" vm="3706">
        <f ca="1"/>
        <v>9.7899999999999991</v>
      </c>
      <c r="H235" vm="3690">
        <f ca="1"/>
        <v>104.26</v>
      </c>
      <c r="I235" vm="3707">
        <f ca="1"/>
        <v>517.53</v>
      </c>
      <c r="J235" vm="3708">
        <f ca="1"/>
        <v>333.69</v>
      </c>
      <c r="K235" vm="3709">
        <f ca="1"/>
        <v>355.14</v>
      </c>
      <c r="L235" vm="468">
        <f ca="1"/>
        <v>88.3</v>
      </c>
      <c r="M235" vm="3710">
        <f ca="1"/>
        <v>920.65</v>
      </c>
      <c r="N235" vm="3711">
        <f ca="1"/>
        <v>251.52</v>
      </c>
      <c r="O235" vm="1306">
        <f ca="1"/>
        <v>126.75</v>
      </c>
      <c r="P235" vm="3712">
        <f ca="1"/>
        <v>206.69</v>
      </c>
      <c r="Q235" vm="3713">
        <f ca="1"/>
        <v>96.23</v>
      </c>
      <c r="R235" vm="3714">
        <f ca="1"/>
        <v>158.96</v>
      </c>
    </row>
    <row r="236" spans="1:18" ht="20" customHeight="1" x14ac:dyDescent="0.2">
      <c r="A236" vm="3715">
        <f ca="1"/>
        <v>46300</v>
      </c>
      <c r="B236" vm="3716">
        <f ca="1"/>
        <v>343.83</v>
      </c>
      <c r="C236" vm="3717">
        <f ca="1"/>
        <v>87.39</v>
      </c>
      <c r="D236" vm="3718">
        <f ca="1"/>
        <v>253.62</v>
      </c>
      <c r="E236" vm="3719">
        <f ca="1"/>
        <v>96.68</v>
      </c>
      <c r="F236" vm="3720">
        <f ca="1"/>
        <v>86.51</v>
      </c>
      <c r="G236" vm="3721">
        <f ca="1"/>
        <v>10</v>
      </c>
      <c r="H236" vm="3722">
        <f ca="1"/>
        <v>105.07</v>
      </c>
      <c r="I236" vm="3723">
        <f ca="1"/>
        <v>525.17999999999995</v>
      </c>
      <c r="J236" vm="3724">
        <f ca="1"/>
        <v>332.89</v>
      </c>
      <c r="K236" vm="3725">
        <f ca="1"/>
        <v>362.51</v>
      </c>
      <c r="L236" vm="3726">
        <f ca="1"/>
        <v>89.05</v>
      </c>
      <c r="M236" vm="3727">
        <f ca="1"/>
        <v>923.52</v>
      </c>
      <c r="N236" vm="3728">
        <f ca="1"/>
        <v>251.4</v>
      </c>
      <c r="O236" vm="3729">
        <f ca="1"/>
        <v>128.4</v>
      </c>
      <c r="P236" vm="3730">
        <f ca="1"/>
        <v>206.47</v>
      </c>
      <c r="Q236" vm="3731">
        <f ca="1"/>
        <v>96.52</v>
      </c>
      <c r="R236" vm="3732">
        <f ca="1"/>
        <v>171.09</v>
      </c>
    </row>
    <row r="237" spans="1:18" ht="20" customHeight="1" x14ac:dyDescent="0.2">
      <c r="A237" vm="3733">
        <f ca="1"/>
        <v>46301</v>
      </c>
      <c r="B237" vm="3263">
        <f ca="1"/>
        <v>344.59</v>
      </c>
      <c r="C237" vm="3734">
        <f ca="1"/>
        <v>91.72</v>
      </c>
      <c r="D237" vm="3735">
        <f ca="1"/>
        <v>253.14</v>
      </c>
      <c r="E237" vm="3736">
        <f ca="1"/>
        <v>97.58</v>
      </c>
      <c r="F237" vm="3737">
        <f ca="1"/>
        <v>86.17</v>
      </c>
      <c r="G237" vm="3738">
        <f ca="1"/>
        <v>10.02</v>
      </c>
      <c r="H237" vm="3739">
        <f ca="1"/>
        <v>107.2</v>
      </c>
      <c r="I237" vm="3740">
        <f ca="1"/>
        <v>529.29999999999995</v>
      </c>
      <c r="J237" vm="3741">
        <f ca="1"/>
        <v>333.63</v>
      </c>
      <c r="K237" vm="3742">
        <f ca="1"/>
        <v>375.81</v>
      </c>
      <c r="L237" vm="3743">
        <f ca="1"/>
        <v>90.58</v>
      </c>
      <c r="M237" vm="3744">
        <f ca="1"/>
        <v>935.68</v>
      </c>
      <c r="N237" vm="3745">
        <f ca="1"/>
        <v>256.29000000000002</v>
      </c>
      <c r="O237" vm="1622">
        <f ca="1"/>
        <v>129.35</v>
      </c>
      <c r="P237" vm="3746">
        <f ca="1"/>
        <v>207.58</v>
      </c>
      <c r="Q237" vm="3747">
        <f ca="1"/>
        <v>97.62</v>
      </c>
      <c r="R237" vm="3748">
        <f ca="1"/>
        <v>171.92</v>
      </c>
    </row>
    <row r="238" spans="1:18" ht="20" customHeight="1" x14ac:dyDescent="0.2">
      <c r="A238" vm="3749">
        <f ca="1"/>
        <v>46302</v>
      </c>
      <c r="B238" vm="3750">
        <f ca="1"/>
        <v>347.37</v>
      </c>
      <c r="C238" vm="3751">
        <f ca="1"/>
        <v>88.45</v>
      </c>
      <c r="D238" vm="3752">
        <f ca="1"/>
        <v>246.49</v>
      </c>
      <c r="E238" vm="3753">
        <f ca="1"/>
        <v>93.71</v>
      </c>
      <c r="F238" vm="3754">
        <f ca="1"/>
        <v>85.82</v>
      </c>
      <c r="G238" vm="3755">
        <f ca="1"/>
        <v>9.93</v>
      </c>
      <c r="H238" vm="3756">
        <f ca="1"/>
        <v>108.16</v>
      </c>
      <c r="I238" vm="3757">
        <f ca="1"/>
        <v>529.76</v>
      </c>
      <c r="J238" vm="3758">
        <f ca="1"/>
        <v>336.67</v>
      </c>
      <c r="K238" vm="3759">
        <f ca="1"/>
        <v>376.51</v>
      </c>
      <c r="L238" vm="3760">
        <f ca="1"/>
        <v>87.74</v>
      </c>
      <c r="M238" vm="3761">
        <f ca="1"/>
        <v>942.25</v>
      </c>
      <c r="N238" vm="3762">
        <f ca="1"/>
        <v>259.92</v>
      </c>
      <c r="O238" vm="3763">
        <f ca="1"/>
        <v>129.84</v>
      </c>
      <c r="P238" vm="1640">
        <f ca="1"/>
        <v>205.15</v>
      </c>
      <c r="Q238" vm="3764">
        <f ca="1"/>
        <v>96.85</v>
      </c>
      <c r="R238" vm="3765">
        <f ca="1"/>
        <v>167.6</v>
      </c>
    </row>
    <row r="239" spans="1:18" ht="20" customHeight="1" x14ac:dyDescent="0.2">
      <c r="A239" vm="3766">
        <f ca="1"/>
        <v>46303</v>
      </c>
      <c r="B239" vm="3767">
        <f ca="1"/>
        <v>344.86</v>
      </c>
      <c r="C239" vm="3768">
        <f ca="1"/>
        <v>81.58</v>
      </c>
      <c r="D239" vm="3769">
        <f ca="1"/>
        <v>243.73</v>
      </c>
      <c r="E239" vm="3770">
        <f ca="1"/>
        <v>92.61</v>
      </c>
      <c r="F239" vm="2910">
        <f ca="1"/>
        <v>87.77</v>
      </c>
      <c r="G239" vm="3771">
        <f ca="1"/>
        <v>9.75</v>
      </c>
      <c r="H239" vm="3772">
        <f ca="1"/>
        <v>110.56</v>
      </c>
      <c r="I239" vm="3773">
        <f ca="1"/>
        <v>522.61</v>
      </c>
      <c r="J239" vm="3774">
        <f ca="1"/>
        <v>340.42</v>
      </c>
      <c r="K239" vm="3775">
        <f ca="1"/>
        <v>360.14</v>
      </c>
      <c r="L239" vm="3776">
        <f ca="1"/>
        <v>86.47</v>
      </c>
      <c r="M239" vm="3777">
        <f ca="1"/>
        <v>947.92</v>
      </c>
      <c r="N239" vm="3778">
        <f ca="1"/>
        <v>254.06</v>
      </c>
      <c r="O239" vm="3779">
        <f ca="1"/>
        <v>134.19</v>
      </c>
      <c r="P239" vm="3780">
        <f ca="1"/>
        <v>211.55</v>
      </c>
      <c r="Q239" vm="3781">
        <f ca="1"/>
        <v>100.2</v>
      </c>
      <c r="R239" vm="3782">
        <f ca="1"/>
        <v>160.57</v>
      </c>
    </row>
    <row r="240" spans="1:18" ht="20" customHeight="1" x14ac:dyDescent="0.2">
      <c r="A240" vm="3783">
        <f ca="1"/>
        <v>46304</v>
      </c>
      <c r="B240" vm="3784">
        <f ca="1"/>
        <v>347.86</v>
      </c>
      <c r="C240" vm="786">
        <f ca="1"/>
        <v>82.08</v>
      </c>
      <c r="D240" vm="3785">
        <f ca="1"/>
        <v>242.78</v>
      </c>
      <c r="E240" vm="976">
        <f ca="1"/>
        <v>92.98</v>
      </c>
      <c r="F240" vm="3786">
        <f ca="1"/>
        <v>88.05</v>
      </c>
      <c r="G240" vm="2178">
        <f ca="1"/>
        <v>9.7799999999999994</v>
      </c>
      <c r="H240" vm="3787">
        <f ca="1"/>
        <v>111.35</v>
      </c>
      <c r="I240" vm="3788">
        <f ca="1"/>
        <v>535.07000000000005</v>
      </c>
      <c r="J240" vm="3789">
        <f ca="1"/>
        <v>336.64</v>
      </c>
      <c r="K240" vm="3790">
        <f ca="1"/>
        <v>361.54</v>
      </c>
      <c r="L240" vm="3520">
        <f ca="1"/>
        <v>87.87</v>
      </c>
      <c r="M240" vm="3791">
        <f ca="1"/>
        <v>946.92</v>
      </c>
      <c r="N240" vm="3792">
        <f ca="1"/>
        <v>262.43</v>
      </c>
      <c r="O240" vm="3793">
        <f ca="1"/>
        <v>134.1</v>
      </c>
      <c r="P240" vm="3794">
        <f ca="1"/>
        <v>211.98</v>
      </c>
      <c r="Q240" vm="3795">
        <f ca="1"/>
        <v>100.18</v>
      </c>
      <c r="R240" vm="3796">
        <f ca="1"/>
        <v>162.57</v>
      </c>
    </row>
    <row r="241" spans="1:18" ht="20" customHeight="1" x14ac:dyDescent="0.2">
      <c r="A241" vm="3797">
        <f ca="1"/>
        <v>46307</v>
      </c>
      <c r="B241" vm="3798">
        <f ca="1"/>
        <v>348.97</v>
      </c>
      <c r="C241" vm="659">
        <f ca="1"/>
        <v>80.260000000000005</v>
      </c>
      <c r="D241" vm="3799">
        <f ca="1"/>
        <v>239.36</v>
      </c>
      <c r="E241" vm="3800">
        <f ca="1"/>
        <v>94.32</v>
      </c>
      <c r="F241" vm="3801">
        <f ca="1"/>
        <v>89.79</v>
      </c>
      <c r="G241" t="e">
        <f ca="1"/>
        <v>#N/A</v>
      </c>
      <c r="H241" vm="3802">
        <f ca="1"/>
        <v>113.08</v>
      </c>
      <c r="I241" vm="3803">
        <f ca="1"/>
        <v>541.15</v>
      </c>
      <c r="J241" vm="3804">
        <f ca="1"/>
        <v>340.97</v>
      </c>
      <c r="K241" vm="3805">
        <f ca="1"/>
        <v>354.73</v>
      </c>
      <c r="L241" vm="3806">
        <f ca="1"/>
        <v>87.89</v>
      </c>
      <c r="M241" vm="3807">
        <f ca="1"/>
        <v>959.44</v>
      </c>
      <c r="N241" vm="3808">
        <f ca="1"/>
        <v>259.52999999999997</v>
      </c>
      <c r="O241" vm="3809">
        <f ca="1"/>
        <v>137.56</v>
      </c>
      <c r="P241" vm="3810">
        <f ca="1"/>
        <v>215</v>
      </c>
      <c r="Q241" vm="92">
        <f ca="1"/>
        <v>101.59</v>
      </c>
      <c r="R241" vm="3811">
        <f ca="1"/>
        <v>163.41999999999999</v>
      </c>
    </row>
    <row r="242" spans="1:18" ht="20" customHeight="1" x14ac:dyDescent="0.2">
      <c r="A242" vm="3812">
        <f ca="1"/>
        <v>46308</v>
      </c>
      <c r="B242" vm="3813">
        <f ca="1"/>
        <v>349.52</v>
      </c>
      <c r="C242" vm="3814">
        <f ca="1"/>
        <v>77.81</v>
      </c>
      <c r="D242" vm="3815">
        <f ca="1"/>
        <v>237.29</v>
      </c>
      <c r="E242" vm="3816">
        <f ca="1"/>
        <v>94.85</v>
      </c>
      <c r="F242" vm="3817">
        <f ca="1"/>
        <v>90.11</v>
      </c>
      <c r="G242" vm="3315">
        <f ca="1"/>
        <v>9.5299999999999994</v>
      </c>
      <c r="H242" vm="3818">
        <f ca="1"/>
        <v>112.28</v>
      </c>
      <c r="I242" vm="3819">
        <f ca="1"/>
        <v>543.45000000000005</v>
      </c>
      <c r="J242" vm="3820">
        <f ca="1"/>
        <v>341.27</v>
      </c>
      <c r="K242" vm="3821">
        <f ca="1"/>
        <v>357.31</v>
      </c>
      <c r="L242" vm="3822">
        <f ca="1"/>
        <v>87.49</v>
      </c>
      <c r="M242" vm="3823">
        <f ca="1"/>
        <v>954.63</v>
      </c>
      <c r="N242" vm="3824">
        <f ca="1"/>
        <v>258.58</v>
      </c>
      <c r="O242" vm="3825">
        <f ca="1"/>
        <v>140.9</v>
      </c>
      <c r="P242" vm="3826">
        <f ca="1"/>
        <v>217.73</v>
      </c>
      <c r="Q242" vm="3827">
        <f ca="1"/>
        <v>102.99</v>
      </c>
      <c r="R242" vm="796">
        <f ca="1"/>
        <v>156.54</v>
      </c>
    </row>
    <row r="243" spans="1:18" ht="20" customHeight="1" x14ac:dyDescent="0.2">
      <c r="A243" vm="3828">
        <f ca="1"/>
        <v>46309</v>
      </c>
      <c r="B243" vm="3829">
        <f ca="1"/>
        <v>343.65</v>
      </c>
      <c r="C243" vm="3830">
        <f ca="1"/>
        <v>65.78</v>
      </c>
      <c r="D243" vm="3831">
        <f ca="1"/>
        <v>222.83</v>
      </c>
      <c r="E243" vm="3832">
        <f ca="1"/>
        <v>93.91</v>
      </c>
      <c r="F243" vm="3833">
        <f ca="1"/>
        <v>91.78</v>
      </c>
      <c r="G243" vm="3834">
        <f ca="1"/>
        <v>9.25</v>
      </c>
      <c r="H243" vm="3835">
        <f ca="1"/>
        <v>116.16</v>
      </c>
      <c r="I243" vm="3836">
        <f ca="1"/>
        <v>533.69000000000005</v>
      </c>
      <c r="J243" vm="3837">
        <f ca="1"/>
        <v>342.96</v>
      </c>
      <c r="K243" vm="3838">
        <f ca="1"/>
        <v>346.25</v>
      </c>
      <c r="L243" vm="2696">
        <f ca="1"/>
        <v>84.14</v>
      </c>
      <c r="M243" vm="3839">
        <f ca="1"/>
        <v>982</v>
      </c>
      <c r="N243" vm="3840">
        <f ca="1"/>
        <v>254.08</v>
      </c>
      <c r="O243" vm="3841">
        <f ca="1"/>
        <v>142.34</v>
      </c>
      <c r="P243" vm="3842">
        <f ca="1"/>
        <v>222.04</v>
      </c>
      <c r="Q243" vm="2720">
        <f ca="1"/>
        <v>103.58</v>
      </c>
      <c r="R243" vm="2772">
        <f ca="1"/>
        <v>152.16</v>
      </c>
    </row>
    <row r="244" spans="1:18" ht="20" customHeight="1" x14ac:dyDescent="0.2">
      <c r="A244" vm="3843">
        <f ca="1"/>
        <v>46310</v>
      </c>
      <c r="B244" vm="3844">
        <f ca="1"/>
        <v>344.91</v>
      </c>
      <c r="C244" vm="3845">
        <f ca="1"/>
        <v>69.69</v>
      </c>
      <c r="D244" vm="3846">
        <f ca="1"/>
        <v>214.75</v>
      </c>
      <c r="E244" vm="3561">
        <f ca="1"/>
        <v>94.54</v>
      </c>
      <c r="F244" vm="1787">
        <f ca="1"/>
        <v>92</v>
      </c>
      <c r="G244" vm="3455">
        <f ca="1"/>
        <v>9.15</v>
      </c>
      <c r="H244" vm="2155">
        <f ca="1"/>
        <v>117.87</v>
      </c>
      <c r="I244" vm="3847">
        <f ca="1"/>
        <v>539.44000000000005</v>
      </c>
      <c r="J244" vm="3848">
        <f ca="1"/>
        <v>342</v>
      </c>
      <c r="K244" vm="3849">
        <f ca="1"/>
        <v>344.33</v>
      </c>
      <c r="L244" vm="3850">
        <f ca="1"/>
        <v>86.03</v>
      </c>
      <c r="M244" vm="3851">
        <f ca="1"/>
        <v>978.01</v>
      </c>
      <c r="N244" vm="3852">
        <f ca="1"/>
        <v>254.76</v>
      </c>
      <c r="O244" vm="3853">
        <f ca="1"/>
        <v>141.72999999999999</v>
      </c>
      <c r="P244" vm="3854">
        <f ca="1"/>
        <v>219.32</v>
      </c>
      <c r="Q244" vm="3855">
        <f ca="1"/>
        <v>103.55</v>
      </c>
      <c r="R244" vm="3856">
        <f ca="1"/>
        <v>148.62</v>
      </c>
    </row>
    <row r="245" spans="1:18" ht="20" customHeight="1" x14ac:dyDescent="0.2">
      <c r="A245" vm="3857">
        <f ca="1"/>
        <v>46311</v>
      </c>
      <c r="B245" vm="2948">
        <f ca="1"/>
        <v>336.91</v>
      </c>
      <c r="C245" vm="3858">
        <f ca="1"/>
        <v>61.39</v>
      </c>
      <c r="D245" vm="3859">
        <f ca="1"/>
        <v>206.42</v>
      </c>
      <c r="E245" vm="2734">
        <f ca="1"/>
        <v>94.57</v>
      </c>
      <c r="F245" vm="3860">
        <f ca="1"/>
        <v>93.9</v>
      </c>
      <c r="G245" vm="3861">
        <f ca="1"/>
        <v>9.1199999999999992</v>
      </c>
      <c r="H245" vm="3862">
        <f ca="1"/>
        <v>118.81</v>
      </c>
      <c r="I245" vm="3863">
        <f ca="1"/>
        <v>529.04999999999995</v>
      </c>
      <c r="J245" vm="3864">
        <f ca="1"/>
        <v>343.46</v>
      </c>
      <c r="K245" vm="3865">
        <f ca="1"/>
        <v>328.75</v>
      </c>
      <c r="L245" vm="3866">
        <f ca="1"/>
        <v>82.69</v>
      </c>
      <c r="M245" vm="3867">
        <f ca="1"/>
        <v>989.11</v>
      </c>
      <c r="N245" vm="3868">
        <f ca="1"/>
        <v>250</v>
      </c>
      <c r="O245" vm="3869">
        <f ca="1"/>
        <v>146.51</v>
      </c>
      <c r="P245" vm="3870">
        <f ca="1"/>
        <v>224.99</v>
      </c>
      <c r="Q245" vm="3871">
        <f ca="1"/>
        <v>106.66</v>
      </c>
      <c r="R245" vm="3872">
        <f ca="1"/>
        <v>146.03</v>
      </c>
    </row>
    <row r="246" spans="1:18" ht="20" customHeight="1" x14ac:dyDescent="0.2">
      <c r="A246" vm="3873">
        <f ca="1"/>
        <v>46314</v>
      </c>
      <c r="B246" vm="3874">
        <f ca="1"/>
        <v>340.16</v>
      </c>
      <c r="C246" vm="3875">
        <f ca="1"/>
        <v>61.12</v>
      </c>
      <c r="D246" vm="3876">
        <f ca="1"/>
        <v>206.08</v>
      </c>
      <c r="E246" vm="3877">
        <f ca="1"/>
        <v>92.96</v>
      </c>
      <c r="F246" vm="3878">
        <f ca="1"/>
        <v>93.42</v>
      </c>
      <c r="G246" vm="3861">
        <f ca="1"/>
        <v>9.1199999999999992</v>
      </c>
      <c r="H246" vm="3879">
        <f ca="1"/>
        <v>118.7</v>
      </c>
      <c r="I246" vm="3880">
        <f ca="1"/>
        <v>533.52</v>
      </c>
      <c r="J246" vm="3881">
        <f ca="1"/>
        <v>342.94</v>
      </c>
      <c r="K246" vm="3882">
        <f ca="1"/>
        <v>334.59</v>
      </c>
      <c r="L246" vm="2279">
        <f ca="1"/>
        <v>81.349999999999994</v>
      </c>
      <c r="M246" vm="3883">
        <f ca="1"/>
        <v>995.53</v>
      </c>
      <c r="N246" vm="3884">
        <f ca="1"/>
        <v>262.45</v>
      </c>
      <c r="O246" vm="3885">
        <f ca="1"/>
        <v>145.24</v>
      </c>
      <c r="P246" vm="3886">
        <f ca="1"/>
        <v>224.37</v>
      </c>
      <c r="Q246" vm="3887">
        <f ca="1"/>
        <v>104.82</v>
      </c>
      <c r="R246" vm="3888">
        <f ca="1"/>
        <v>147.96</v>
      </c>
    </row>
    <row r="247" spans="1:18" ht="20" customHeight="1" x14ac:dyDescent="0.2">
      <c r="A247" vm="3889">
        <f ca="1"/>
        <v>46315</v>
      </c>
      <c r="B247" vm="3890">
        <f ca="1"/>
        <v>336.4</v>
      </c>
      <c r="C247" vm="3891">
        <f ca="1"/>
        <v>62.13</v>
      </c>
      <c r="D247" vm="3892">
        <f ca="1"/>
        <v>203.56</v>
      </c>
      <c r="E247" vm="1688">
        <f ca="1"/>
        <v>92.74</v>
      </c>
      <c r="F247" vm="3893">
        <f ca="1"/>
        <v>93.49</v>
      </c>
      <c r="G247" vm="3894">
        <f ca="1"/>
        <v>9.0399999999999991</v>
      </c>
      <c r="H247" vm="3895">
        <f ca="1"/>
        <v>117.85</v>
      </c>
      <c r="I247" vm="3896">
        <f ca="1"/>
        <v>531.87</v>
      </c>
      <c r="J247" vm="3897">
        <f ca="1"/>
        <v>339.5</v>
      </c>
      <c r="K247" vm="3898">
        <f ca="1"/>
        <v>334.37</v>
      </c>
      <c r="L247" vm="3899">
        <f ca="1"/>
        <v>82.91</v>
      </c>
      <c r="M247" vm="3900">
        <f ca="1"/>
        <v>994.61</v>
      </c>
      <c r="N247" vm="3901">
        <f ca="1"/>
        <v>262.63</v>
      </c>
      <c r="O247" vm="3902">
        <f ca="1"/>
        <v>145.94999999999999</v>
      </c>
      <c r="P247" vm="3903">
        <f ca="1"/>
        <v>225.71</v>
      </c>
      <c r="Q247" vm="3904">
        <f ca="1"/>
        <v>105.54</v>
      </c>
      <c r="R247" vm="3905">
        <f ca="1"/>
        <v>147.79</v>
      </c>
    </row>
    <row r="248" spans="1:18" ht="20" customHeight="1" x14ac:dyDescent="0.2">
      <c r="A248" vm="3906">
        <f ca="1"/>
        <v>46316</v>
      </c>
      <c r="B248" vm="3907">
        <f ca="1"/>
        <v>330.95</v>
      </c>
      <c r="C248" vm="3908">
        <f ca="1"/>
        <v>61.82</v>
      </c>
      <c r="D248" vm="3909">
        <f ca="1"/>
        <v>212.15</v>
      </c>
      <c r="E248" vm="3860">
        <f ca="1"/>
        <v>93.9</v>
      </c>
      <c r="F248" vm="3910">
        <f ca="1"/>
        <v>92.68</v>
      </c>
      <c r="G248" vm="3911">
        <f ca="1"/>
        <v>9.2899999999999991</v>
      </c>
      <c r="H248" vm="3912">
        <f ca="1"/>
        <v>117.8</v>
      </c>
      <c r="I248" vm="3913">
        <f ca="1"/>
        <v>532.95000000000005</v>
      </c>
      <c r="J248" vm="3914">
        <f ca="1"/>
        <v>343.99</v>
      </c>
      <c r="K248" vm="3915">
        <f ca="1"/>
        <v>337.8</v>
      </c>
      <c r="L248" vm="3067">
        <f ca="1"/>
        <v>85.33</v>
      </c>
      <c r="M248" vm="3916">
        <f ca="1"/>
        <v>998.31</v>
      </c>
      <c r="N248" vm="3917">
        <f ca="1"/>
        <v>262.37</v>
      </c>
      <c r="O248" vm="3918">
        <f ca="1"/>
        <v>145.66999999999999</v>
      </c>
      <c r="P248" vm="3919">
        <f ca="1"/>
        <v>226.78</v>
      </c>
      <c r="Q248" vm="3920">
        <f ca="1"/>
        <v>105.36</v>
      </c>
      <c r="R248" vm="3921">
        <f ca="1"/>
        <v>159.31</v>
      </c>
    </row>
    <row r="249" spans="1:18" ht="20" customHeight="1" x14ac:dyDescent="0.2">
      <c r="A249" vm="3922">
        <f ca="1"/>
        <v>46317</v>
      </c>
      <c r="B249" vm="3923">
        <f ca="1"/>
        <v>320.76</v>
      </c>
      <c r="C249" vm="3924">
        <f ca="1"/>
        <v>55.6</v>
      </c>
      <c r="D249" vm="3925">
        <f ca="1"/>
        <v>195.59</v>
      </c>
      <c r="E249" vm="3926">
        <f ca="1"/>
        <v>91.89</v>
      </c>
      <c r="F249" vm="3927">
        <f ca="1"/>
        <v>95.34</v>
      </c>
      <c r="G249" vm="3039">
        <f ca="1"/>
        <v>8.8699999999999992</v>
      </c>
      <c r="H249" vm="3928">
        <f ca="1"/>
        <v>121.12</v>
      </c>
      <c r="I249" vm="3929">
        <f ca="1"/>
        <v>521.08000000000004</v>
      </c>
      <c r="J249" vm="3930">
        <f ca="1"/>
        <v>348.22</v>
      </c>
      <c r="K249" vm="3931">
        <f ca="1"/>
        <v>323.24</v>
      </c>
      <c r="L249" vm="1330">
        <f ca="1"/>
        <v>82.28</v>
      </c>
      <c r="M249" vm="3932">
        <f ca="1"/>
        <v>1018.21</v>
      </c>
      <c r="N249" vm="3933">
        <f ca="1"/>
        <v>250.38</v>
      </c>
      <c r="O249" vm="3934">
        <f ca="1"/>
        <v>145.63</v>
      </c>
      <c r="P249" vm="3935">
        <f ca="1"/>
        <v>226.68</v>
      </c>
      <c r="Q249" vm="3936">
        <f ca="1"/>
        <v>105.8</v>
      </c>
      <c r="R249" vm="3937">
        <f ca="1"/>
        <v>144.75</v>
      </c>
    </row>
    <row r="250" spans="1:18" ht="20" customHeight="1" x14ac:dyDescent="0.2">
      <c r="A250" vm="3938">
        <f ca="1"/>
        <v>46318</v>
      </c>
      <c r="B250" vm="3939">
        <f ca="1"/>
        <v>317.27999999999997</v>
      </c>
      <c r="C250" vm="3940">
        <f ca="1"/>
        <v>54.234999999999999</v>
      </c>
      <c r="D250" vm="3941">
        <f ca="1"/>
        <v>194.32</v>
      </c>
      <c r="E250" vm="3942">
        <f ca="1"/>
        <v>90.68</v>
      </c>
      <c r="F250" vm="3943">
        <f ca="1"/>
        <v>92.71</v>
      </c>
      <c r="G250" vm="3944">
        <f ca="1"/>
        <v>8.83</v>
      </c>
      <c r="H250" vm="3945">
        <f ca="1"/>
        <v>119.89</v>
      </c>
      <c r="I250" vm="3946">
        <f ca="1"/>
        <v>524.51</v>
      </c>
      <c r="J250" vm="3947">
        <f ca="1"/>
        <v>347.72500000000002</v>
      </c>
      <c r="K250" vm="3948">
        <f ca="1"/>
        <v>321.68</v>
      </c>
      <c r="L250" vm="2516">
        <f ca="1"/>
        <v>80.28</v>
      </c>
      <c r="M250" vm="1495">
        <f ca="1"/>
        <v>1003.32</v>
      </c>
      <c r="N250" vm="3949">
        <f ca="1"/>
        <v>248</v>
      </c>
      <c r="O250" vm="3950">
        <f ca="1"/>
        <v>150.80000000000001</v>
      </c>
      <c r="P250" vm="3951">
        <f ca="1"/>
        <v>233.21</v>
      </c>
      <c r="Q250" vm="3952">
        <f ca="1"/>
        <v>108.18</v>
      </c>
      <c r="R250" vm="3953">
        <f ca="1"/>
        <v>147.49</v>
      </c>
    </row>
    <row r="251" spans="1:18" ht="20" customHeight="1" x14ac:dyDescent="0.2">
      <c r="A251" vm="3954">
        <f ca="1"/>
        <v>46321</v>
      </c>
      <c r="B251" vm="3955">
        <f ca="1"/>
        <v>314.19</v>
      </c>
      <c r="C251" vm="3956">
        <f ca="1"/>
        <v>55.19</v>
      </c>
      <c r="D251" vm="3957">
        <f ca="1"/>
        <v>199.78</v>
      </c>
      <c r="E251" vm="3958">
        <f ca="1"/>
        <v>91.21</v>
      </c>
      <c r="F251" vm="3959">
        <f ca="1"/>
        <v>92.7</v>
      </c>
      <c r="G251" vm="3960">
        <f ca="1"/>
        <v>9.0500000000000007</v>
      </c>
      <c r="H251" vm="3961">
        <f ca="1"/>
        <v>120.29</v>
      </c>
      <c r="I251" vm="3962">
        <f ca="1"/>
        <v>532.6</v>
      </c>
      <c r="J251" vm="3963">
        <f ca="1"/>
        <v>343.91</v>
      </c>
      <c r="K251" vm="3964">
        <f ca="1"/>
        <v>329.17</v>
      </c>
      <c r="L251" vm="3965">
        <f ca="1"/>
        <v>80.59</v>
      </c>
      <c r="M251" vm="3966">
        <f ca="1"/>
        <v>1005.16</v>
      </c>
      <c r="N251" vm="3967">
        <f ca="1"/>
        <v>249.09</v>
      </c>
      <c r="O251" vm="3968">
        <f ca="1"/>
        <v>151.37</v>
      </c>
      <c r="P251" vm="3969">
        <f ca="1"/>
        <v>232.01</v>
      </c>
      <c r="Q251" vm="3970">
        <f ca="1"/>
        <v>106.91</v>
      </c>
      <c r="R251" vm="3971">
        <f ca="1"/>
        <v>146.9</v>
      </c>
    </row>
    <row r="252" spans="1:18" ht="20" customHeight="1" x14ac:dyDescent="0.2">
      <c r="A252" vm="3972">
        <f ca="1"/>
        <v>46322</v>
      </c>
      <c r="B252" vm="3221">
        <f ca="1"/>
        <v>316.83</v>
      </c>
      <c r="C252" vm="3973">
        <f ca="1"/>
        <v>59.57</v>
      </c>
      <c r="D252" vm="1311">
        <f ca="1"/>
        <v>208.56</v>
      </c>
      <c r="E252" vm="3974">
        <f ca="1"/>
        <v>86.01</v>
      </c>
      <c r="F252" vm="3975">
        <f ca="1"/>
        <v>91.18</v>
      </c>
      <c r="G252" vm="3976">
        <f ca="1"/>
        <v>9.17</v>
      </c>
      <c r="H252" vm="3977">
        <f ca="1"/>
        <v>119.32</v>
      </c>
      <c r="I252" vm="3978">
        <f ca="1"/>
        <v>531.33000000000004</v>
      </c>
      <c r="J252" vm="3979">
        <f ca="1"/>
        <v>347.1</v>
      </c>
      <c r="K252" vm="3980">
        <f ca="1"/>
        <v>342.33</v>
      </c>
      <c r="L252" vm="2526">
        <f ca="1"/>
        <v>82.25</v>
      </c>
      <c r="M252" vm="3981">
        <f ca="1"/>
        <v>992.13</v>
      </c>
      <c r="N252" vm="3982">
        <f ca="1"/>
        <v>253.1</v>
      </c>
      <c r="O252" vm="3888">
        <f ca="1"/>
        <v>147.96</v>
      </c>
      <c r="P252" vm="3983">
        <f ca="1"/>
        <v>228.23</v>
      </c>
      <c r="Q252" vm="3984">
        <f ca="1"/>
        <v>104.78</v>
      </c>
      <c r="R252" vm="3985">
        <f ca="1"/>
        <v>148.58000000000001</v>
      </c>
    </row>
  </sheetData>
  <pageMargins left="0.25" right="0.25"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F447-B5AA-0246-ABD2-98025A311515}">
  <dimension ref="A1:GT251"/>
  <sheetViews>
    <sheetView showGridLines="0" workbookViewId="0">
      <pane ySplit="1" topLeftCell="A92" activePane="bottomLeft" state="frozen"/>
      <selection pane="bottomLeft" activeCell="E192" sqref="E192"/>
    </sheetView>
  </sheetViews>
  <sheetFormatPr baseColWidth="10" defaultRowHeight="16" x14ac:dyDescent="0.2"/>
  <cols>
    <col min="2" max="2" width="20.5" style="13" customWidth="1"/>
    <col min="3" max="3" width="24" style="67" customWidth="1"/>
    <col min="4" max="4" width="16.83203125" style="67" customWidth="1"/>
    <col min="5" max="5" width="16.83203125" style="13" customWidth="1"/>
    <col min="6" max="6" width="21" style="13" customWidth="1"/>
    <col min="7" max="7" width="21" style="67" customWidth="1"/>
    <col min="8" max="8" width="21" style="13" customWidth="1"/>
    <col min="9" max="9" width="21" style="67" customWidth="1"/>
    <col min="10" max="201" width="10.83203125" style="12"/>
  </cols>
  <sheetData>
    <row r="1" spans="1:202" s="11" customFormat="1" x14ac:dyDescent="0.2">
      <c r="A1" s="11" t="s">
        <v>19</v>
      </c>
      <c r="B1" s="11" t="s">
        <v>36</v>
      </c>
      <c r="C1" s="35" t="s">
        <v>39</v>
      </c>
      <c r="D1" s="35" t="s">
        <v>29</v>
      </c>
      <c r="E1" s="20" t="s">
        <v>30</v>
      </c>
      <c r="F1" s="11" t="s">
        <v>38</v>
      </c>
      <c r="G1" s="11" t="s">
        <v>40</v>
      </c>
      <c r="H1" s="11" t="s">
        <v>41</v>
      </c>
      <c r="I1" s="11" t="s">
        <v>42</v>
      </c>
      <c r="J1" s="11" t="str" cm="1">
        <f t="array" aca="1" ref="J1:Z1" ca="1">_xlfn.ANCHORARRAY(Prices!B1)</f>
        <v>GOOG</v>
      </c>
      <c r="K1" s="20" t="str">
        <f ca="1"/>
        <v>CRWV</v>
      </c>
      <c r="L1" s="20" t="str">
        <f ca="1"/>
        <v>VRT</v>
      </c>
      <c r="M1" s="20" t="str">
        <f ca="1"/>
        <v>HSBC</v>
      </c>
      <c r="N1" s="20" t="str">
        <f ca="1"/>
        <v>KO</v>
      </c>
      <c r="O1" s="20" t="str">
        <f ca="1"/>
        <v>NVDA</v>
      </c>
      <c r="P1" s="20" t="str">
        <f ca="1"/>
        <v>WMT</v>
      </c>
      <c r="Q1" s="20" t="str">
        <f ca="1"/>
        <v>MSFT</v>
      </c>
      <c r="R1" s="20" t="str">
        <f ca="1"/>
        <v>AAPL</v>
      </c>
      <c r="S1" s="20" t="str">
        <f ca="1"/>
        <v>AVGO</v>
      </c>
      <c r="T1" s="20" t="str">
        <f ca="1"/>
        <v>IBKR</v>
      </c>
      <c r="U1" s="20" t="str">
        <f ca="1"/>
        <v>COST</v>
      </c>
      <c r="V1" s="20" t="str">
        <f ca="1"/>
        <v>AMZN</v>
      </c>
      <c r="W1" s="20" t="str">
        <f ca="1"/>
        <v>COP</v>
      </c>
      <c r="X1" s="20" t="str">
        <f ca="1"/>
        <v>CVX</v>
      </c>
      <c r="Y1" s="20" t="str">
        <f ca="1"/>
        <v>SHEL</v>
      </c>
      <c r="Z1" s="20" t="str">
        <f ca="1"/>
        <v>SPCX</v>
      </c>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row>
    <row r="2" spans="1:202" x14ac:dyDescent="0.2">
      <c r="A2" cm="1" vm="35">
        <f t="array" aca="1" ref="A2:A251" ca="1">_xlfn.DROP(_xlfn.ANCHORARRAY(Prices!A2), 1)</f>
        <v>45959</v>
      </c>
      <c r="B2" s="14" cm="1">
        <f t="array" aca="1" ref="B2:B251" ca="1">MMULT(_xlfn.TAKE(J2:AF499, ROWS(_xlfn.ANCHORARRAY(A2)), COLUMNS(_xlfn.ANCHORARRAY(J1))), Holdings[Weight]) / SUM(Holdings[Weight])</f>
        <v>1.0399481568125001E-2</v>
      </c>
      <c r="C2" s="66">
        <v>1</v>
      </c>
      <c r="D2" s="67">
        <f>C2</f>
        <v>1</v>
      </c>
      <c r="E2" s="13">
        <f>(C2-D2)/D2</f>
        <v>0</v>
      </c>
      <c r="F2" s="14" cm="1">
        <f t="array" aca="1" ref="F2:F251" ca="1">_xlfn.LET( _xlpm.bench_code, "SPY", _xlpm.master_dates,_xlfn.ANCHORARRAY( Prices!A2), _xlpm.bench_hist, _xlfn.STOCKHISTORY(_xlpm.bench_code, TODAY()-365, TODAY(), 0, 0, 0, 1), _xlpm.bench_dates, INDEX(_xlpm.bench_hist, , 1), _xlpm.bench_prices, INDEX(_xlpm.bench_hist, , 2), _xlpm.aligned_prices, _xlfn.IFNA(_xlfn.XLOOKUP(_xlpm.master_dates, _xlpm.bench_dates, _xlpm.bench_prices), NA()), _xlpm.p_curr, _xlfn.DROP(_xlpm.aligned_prices, 1), _xlpm.p_prev, _xlfn.DROP(_xlpm.aligned_prices, -1), _xlpm.returns, (_xlpm.p_curr / _xlpm.p_prev) - 1, IFERROR(_xlpm.returns, NA()) )</f>
        <v>4.8030739673388112E-4</v>
      </c>
      <c r="G2" s="68">
        <f>1</f>
        <v>1</v>
      </c>
      <c r="H2" s="14" cm="1">
        <f t="array" aca="1" ref="H2:H251" ca="1">_xlfn.LET( _xlpm.bench_code, "QQQ", _xlpm.master_dates,_xlfn.ANCHORARRAY( Prices!A2), _xlpm.bench_hist, _xlfn.STOCKHISTORY(_xlpm.bench_code, TODAY()-365, TODAY(), 0, 0, 0, 1), _xlpm.bench_dates, INDEX(_xlpm.bench_hist, , 1), _xlpm.bench_prices, INDEX(_xlpm.bench_hist, , 2), _xlpm.aligned_prices, _xlfn.IFNA(_xlfn.XLOOKUP(_xlpm.master_dates, _xlpm.bench_dates, _xlpm.bench_prices), NA()), _xlpm.p_curr, _xlfn.DROP(_xlpm.aligned_prices, 1), _xlpm.p_prev, _xlfn.DROP(_xlpm.aligned_prices, -1), _xlpm.returns, (_xlpm.p_curr / _xlpm.p_prev) - 1, IFERROR(_xlpm.returns, NA()) )</f>
        <v>4.5029387600328263E-3</v>
      </c>
      <c r="I2" s="68">
        <v>1</v>
      </c>
      <c r="J2" s="19" cm="1">
        <f t="array" aca="1" ref="J2:J251" ca="1">IF(J$1="", "", _xlfn.LET(_xlpm.prices,_xlfn.ANCHORARRAY( Prices!B2),_xlpm.p_curr, _xlfn.DROP(_xlpm.prices, 1),_xlpm.p_prev, _xlfn.DROP(_xlpm.prices, -1),_xlpm.ret, (_xlpm.p_curr / _xlpm.p_prev) - 1,IFERROR(_xlpm.ret, 0)))</f>
        <v>2.5108966956003398E-2</v>
      </c>
      <c r="K2" s="19" cm="1">
        <f t="array" aca="1" ref="K2:K251" ca="1">IF(K$1="", "", _xlfn.LET(_xlpm.prices,_xlfn.ANCHORARRAY( Prices!C2),_xlpm.p_curr, _xlfn.DROP(_xlpm.prices, 1),_xlpm.p_prev, _xlfn.DROP(_xlpm.prices, -1),_xlpm.ret, (_xlpm.p_curr / _xlpm.p_prev) - 1,IFERROR(_xlpm.ret, 0)))</f>
        <v>3.8056379821958419E-2</v>
      </c>
      <c r="L2" s="19" cm="1">
        <f t="array" aca="1" ref="L2:L251" ca="1">IF(L$1="", "", _xlfn.LET(_xlpm.prices,_xlfn.ANCHORARRAY( Prices!D2),_xlpm.p_curr, _xlfn.DROP(_xlpm.prices, 1),_xlpm.p_prev, _xlfn.DROP(_xlpm.prices, -1),_xlpm.ret, (_xlpm.p_curr / _xlpm.p_prev) - 1,IFERROR(_xlpm.ret, 0)))</f>
        <v>4.5652516135803234E-2</v>
      </c>
      <c r="M2" s="19" cm="1">
        <f t="array" aca="1" ref="M2:M251" ca="1">IF(M$1="", "", _xlfn.LET(_xlpm.prices,_xlfn.ANCHORARRAY( Prices!E2),_xlpm.p_curr, _xlfn.DROP(_xlpm.prices, 1),_xlpm.p_prev, _xlfn.DROP(_xlpm.prices, -1),_xlpm.ret, (_xlpm.p_curr / _xlpm.p_prev) - 1,IFERROR(_xlpm.ret, 0)))</f>
        <v>6.4249000571101611E-3</v>
      </c>
      <c r="N2" s="19" cm="1">
        <f t="array" aca="1" ref="N2:N251" ca="1">IF(N$1="", "", _xlfn.LET(_xlpm.prices,_xlfn.ANCHORARRAY( Prices!F2),_xlpm.p_curr, _xlfn.DROP(_xlpm.prices, 1),_xlpm.p_prev, _xlfn.DROP(_xlpm.prices, -1),_xlpm.ret, (_xlpm.p_curr / _xlpm.p_prev) - 1,IFERROR(_xlpm.ret, 0)))</f>
        <v>-2.5798175598631734E-2</v>
      </c>
      <c r="O2" s="19" cm="1">
        <f t="array" aca="1" ref="O2:O251" ca="1">IF(O$1="", "", _xlfn.LET(_xlpm.prices,_xlfn.ANCHORARRAY( Prices!G2),_xlpm.p_curr, _xlfn.DROP(_xlpm.prices, 1),_xlpm.p_prev, _xlfn.DROP(_xlpm.prices, -1),_xlpm.ret, (_xlpm.p_curr / _xlpm.p_prev) - 1,IFERROR(_xlpm.ret, 0)))</f>
        <v>4.3689320388349495E-2</v>
      </c>
      <c r="P2" s="19" cm="1">
        <f t="array" aca="1" ref="P2:P251" ca="1">IF(P$1="", "", _xlfn.LET(_xlpm.prices,_xlfn.ANCHORARRAY( Prices!H2),_xlpm.p_curr, _xlfn.DROP(_xlpm.prices, 1),_xlpm.p_prev, _xlfn.DROP(_xlpm.prices, -1),_xlpm.ret, (_xlpm.p_curr / _xlpm.p_prev) - 1,IFERROR(_xlpm.ret, 0)))</f>
        <v>-6.8818454977223054E-3</v>
      </c>
      <c r="Q2" s="19" cm="1">
        <f t="array" aca="1" ref="Q2:Q251" ca="1">IF(Q$1="", "", _xlfn.LET(_xlpm.prices,_xlfn.ANCHORARRAY( Prices!I2),_xlpm.p_curr, _xlfn.DROP(_xlpm.prices, 1),_xlpm.p_prev, _xlfn.DROP(_xlpm.prices, -1),_xlpm.ret, (_xlpm.p_curr / _xlpm.p_prev) - 1,IFERROR(_xlpm.ret, 0)))</f>
        <v>-9.5928570110892508E-4</v>
      </c>
      <c r="R2" s="19" cm="1">
        <f t="array" aca="1" ref="R2:R251" ca="1">IF(R$1="", "", _xlfn.LET(_xlpm.prices,_xlfn.ANCHORARRAY( Prices!J2),_xlpm.p_curr, _xlfn.DROP(_xlpm.prices, 1),_xlpm.p_prev, _xlfn.DROP(_xlpm.prices, -1),_xlpm.ret, (_xlpm.p_curr / _xlpm.p_prev) - 1,IFERROR(_xlpm.ret, 0)))</f>
        <v>2.6022304832713505E-3</v>
      </c>
      <c r="S2" s="19" cm="1">
        <f t="array" aca="1" ref="S2:S251" ca="1">IF(S$1="", "", _xlfn.LET(_xlpm.prices,_xlfn.ANCHORARRAY( Prices!K2),_xlpm.p_curr, _xlfn.DROP(_xlpm.prices, 1),_xlpm.p_prev, _xlfn.DROP(_xlpm.prices, -1),_xlpm.ret, (_xlpm.p_curr / _xlpm.p_prev) - 1,IFERROR(_xlpm.ret, 0)))</f>
        <v>3.4882162104190595E-2</v>
      </c>
      <c r="T2" s="19" cm="1">
        <f t="array" aca="1" ref="T2:T251" ca="1">IF(T$1="", "", _xlfn.LET(_xlpm.prices,_xlfn.ANCHORARRAY( Prices!L2),_xlpm.p_curr, _xlfn.DROP(_xlpm.prices, 1),_xlpm.p_prev, _xlfn.DROP(_xlpm.prices, -1),_xlpm.ret, (_xlpm.p_curr / _xlpm.p_prev) - 1,IFERROR(_xlpm.ret, 0)))</f>
        <v>7.8659868900217145E-3</v>
      </c>
      <c r="U2" s="19" cm="1">
        <f t="array" aca="1" ref="U2:U251" ca="1">IF(U$1="", "", _xlfn.LET(_xlpm.prices,_xlfn.ANCHORARRAY( Prices!M2),_xlpm.p_curr, _xlfn.DROP(_xlpm.prices, 1),_xlpm.p_prev, _xlfn.DROP(_xlpm.prices, -1),_xlpm.ret, (_xlpm.p_curr / _xlpm.p_prev) - 1,IFERROR(_xlpm.ret, 0)))</f>
        <v>-1.2703427977839299E-2</v>
      </c>
      <c r="V2" s="19" cm="1">
        <f t="array" aca="1" ref="V2:V251" ca="1">IF(V$1="", "", _xlfn.LET(_xlpm.prices,_xlfn.ANCHORARRAY( Prices!N2),_xlpm.p_curr, _xlfn.DROP(_xlpm.prices, 1),_xlpm.p_prev, _xlfn.DROP(_xlpm.prices, -1),_xlpm.ret, (_xlpm.p_curr / _xlpm.p_prev) - 1,IFERROR(_xlpm.ret, 0)))</f>
        <v>4.5801526717557106E-3</v>
      </c>
      <c r="W2" s="19" cm="1">
        <f t="array" aca="1" ref="W2:W251" ca="1">IF(W$1="", "", _xlfn.LET(_xlpm.prices,_xlfn.ANCHORARRAY( Prices!O2),_xlpm.p_curr, _xlfn.DROP(_xlpm.prices, 1),_xlpm.p_prev, _xlfn.DROP(_xlpm.prices, -1),_xlpm.ret, (_xlpm.p_curr / _xlpm.p_prev) - 1,IFERROR(_xlpm.ret, 0)))</f>
        <v>1.4863463532664989E-2</v>
      </c>
      <c r="X2" s="19" cm="1">
        <f t="array" aca="1" ref="X2:X251" ca="1">IF(X$1="", "", _xlfn.LET(_xlpm.prices,_xlfn.ANCHORARRAY( Prices!P2),_xlpm.p_curr, _xlfn.DROP(_xlpm.prices, 1),_xlpm.p_prev, _xlfn.DROP(_xlpm.prices, -1),_xlpm.ret, (_xlpm.p_curr / _xlpm.p_prev) - 1,IFERROR(_xlpm.ret, 0)))</f>
        <v>6.2933886978524534E-3</v>
      </c>
      <c r="Y2" s="19" cm="1">
        <f t="array" aca="1" ref="Y2:Y251" ca="1">IF(Y$1="", "", _xlfn.LET(_xlpm.prices,_xlfn.ANCHORARRAY( Prices!Q2),_xlpm.p_curr, _xlfn.DROP(_xlpm.prices, 1),_xlpm.p_prev, _xlfn.DROP(_xlpm.prices, -1),_xlpm.ret, (_xlpm.p_curr / _xlpm.p_prev) - 1,IFERROR(_xlpm.ret, 0)))</f>
        <v>6.3940322365791946E-3</v>
      </c>
      <c r="Z2" s="19" cm="1">
        <f t="array" aca="1" ref="Z2:Z251" ca="1">IF(Z$1="", "", _xlfn.LET(_xlpm.prices,_xlfn.ANCHORARRAY( Prices!R2),_xlpm.p_curr, _xlfn.DROP(_xlpm.prices, 1),_xlpm.p_prev, _xlfn.DROP(_xlpm.prices, -1),_xlpm.ret, (_xlpm.p_curr / _xlpm.p_prev) - 1,IFERROR(_xlpm.ret, 0)))</f>
        <v>0</v>
      </c>
      <c r="AA2" s="19" t="str" cm="1">
        <f t="array" ref="AA2">IF(AA$1="", "", _xlfn.LET(_xlpm.prices,_xlfn.ANCHORARRAY( Prices!S2),_xlpm.p_curr, _xlfn.DROP(_xlpm.prices, 1),_xlpm.p_prev, _xlfn.DROP(_xlpm.prices, -1),_xlpm.ret, (_xlpm.p_curr / _xlpm.p_prev) - 1,IFERROR(_xlpm.ret, 0)))</f>
        <v/>
      </c>
      <c r="AB2" s="19" t="str" cm="1">
        <f t="array" ref="AB2">IF(AB$1="", "", _xlfn.LET(_xlpm.prices,_xlfn.ANCHORARRAY( Prices!T2),_xlpm.p_curr, _xlfn.DROP(_xlpm.prices, 1),_xlpm.p_prev, _xlfn.DROP(_xlpm.prices, -1),_xlpm.ret, (_xlpm.p_curr / _xlpm.p_prev) - 1,IFERROR(_xlpm.ret, 0)))</f>
        <v/>
      </c>
      <c r="AC2" s="19" t="str" cm="1">
        <f t="array" ref="AC2">IF(AC$1="", "", _xlfn.LET(_xlpm.prices,_xlfn.ANCHORARRAY( Prices!U2),_xlpm.p_curr, _xlfn.DROP(_xlpm.prices, 1),_xlpm.p_prev, _xlfn.DROP(_xlpm.prices, -1),_xlpm.ret, (_xlpm.p_curr / _xlpm.p_prev) - 1,IFERROR(_xlpm.ret, 0)))</f>
        <v/>
      </c>
      <c r="AD2" s="19" t="str" cm="1">
        <f t="array" ref="AD2">IF(AD$1="", "", _xlfn.LET(_xlpm.prices,_xlfn.ANCHORARRAY( Prices!V2),_xlpm.p_curr, _xlfn.DROP(_xlpm.prices, 1),_xlpm.p_prev, _xlfn.DROP(_xlpm.prices, -1),_xlpm.ret, (_xlpm.p_curr / _xlpm.p_prev) - 1,IFERROR(_xlpm.ret, 0)))</f>
        <v/>
      </c>
      <c r="AE2" s="19" t="str" cm="1">
        <f t="array" ref="AE2">IF(AE$1="", "", _xlfn.LET(_xlpm.prices,_xlfn.ANCHORARRAY( Prices!W2),_xlpm.p_curr, _xlfn.DROP(_xlpm.prices, 1),_xlpm.p_prev, _xlfn.DROP(_xlpm.prices, -1),_xlpm.ret, (_xlpm.p_curr / _xlpm.p_prev) - 1,IFERROR(_xlpm.ret, 0)))</f>
        <v/>
      </c>
      <c r="AF2" s="19" t="str" cm="1">
        <f t="array" ref="AF2">IF(AF$1="", "", _xlfn.LET(_xlpm.prices,_xlfn.ANCHORARRAY( Prices!X2),_xlpm.p_curr, _xlfn.DROP(_xlpm.prices, 1),_xlpm.p_prev, _xlfn.DROP(_xlpm.prices, -1),_xlpm.ret, (_xlpm.p_curr / _xlpm.p_prev) - 1,IFERROR(_xlpm.ret, 0)))</f>
        <v/>
      </c>
      <c r="AG2" s="19" t="str" cm="1">
        <f t="array" ref="AG2">IF(AG$1="", "", _xlfn.LET(_xlpm.prices,_xlfn.ANCHORARRAY( Prices!Y2),_xlpm.p_curr, _xlfn.DROP(_xlpm.prices, 1),_xlpm.p_prev, _xlfn.DROP(_xlpm.prices, -1),_xlpm.ret, (_xlpm.p_curr / _xlpm.p_prev) - 1,IFERROR(_xlpm.ret, 0)))</f>
        <v/>
      </c>
      <c r="AH2" s="19" t="str" cm="1">
        <f t="array" ref="AH2">IF(AH$1="", "", _xlfn.LET(_xlpm.prices,_xlfn.ANCHORARRAY( Prices!Z2),_xlpm.p_curr, _xlfn.DROP(_xlpm.prices, 1),_xlpm.p_prev, _xlfn.DROP(_xlpm.prices, -1),_xlpm.ret, (_xlpm.p_curr / _xlpm.p_prev) - 1,IFERROR(_xlpm.ret, 0)))</f>
        <v/>
      </c>
      <c r="AI2" s="19" t="str" cm="1">
        <f t="array" ref="AI2">IF(AI$1="", "", _xlfn.LET(_xlpm.prices,_xlfn.ANCHORARRAY( Prices!AA2),_xlpm.p_curr, _xlfn.DROP(_xlpm.prices, 1),_xlpm.p_prev, _xlfn.DROP(_xlpm.prices, -1),_xlpm.ret, (_xlpm.p_curr / _xlpm.p_prev) - 1,IFERROR(_xlpm.ret, 0)))</f>
        <v/>
      </c>
      <c r="AJ2" s="19" t="str" cm="1">
        <f t="array" ref="AJ2">IF(AJ$1="", "", _xlfn.LET(_xlpm.prices,_xlfn.ANCHORARRAY( Prices!AB2),_xlpm.p_curr, _xlfn.DROP(_xlpm.prices, 1),_xlpm.p_prev, _xlfn.DROP(_xlpm.prices, -1),_xlpm.ret, (_xlpm.p_curr / _xlpm.p_prev) - 1,IFERROR(_xlpm.ret, 0)))</f>
        <v/>
      </c>
      <c r="AK2" s="19" t="str" cm="1">
        <f t="array" ref="AK2">IF(AK$1="", "", _xlfn.LET(_xlpm.prices,_xlfn.ANCHORARRAY( Prices!AC2),_xlpm.p_curr, _xlfn.DROP(_xlpm.prices, 1),_xlpm.p_prev, _xlfn.DROP(_xlpm.prices, -1),_xlpm.ret, (_xlpm.p_curr / _xlpm.p_prev) - 1,IFERROR(_xlpm.ret, 0)))</f>
        <v/>
      </c>
      <c r="AL2" s="19" t="str" cm="1">
        <f t="array" ref="AL2">IF(AL$1="", "", _xlfn.LET(_xlpm.prices,_xlfn.ANCHORARRAY( Prices!AD2),_xlpm.p_curr, _xlfn.DROP(_xlpm.prices, 1),_xlpm.p_prev, _xlfn.DROP(_xlpm.prices, -1),_xlpm.ret, (_xlpm.p_curr / _xlpm.p_prev) - 1,IFERROR(_xlpm.ret, 0)))</f>
        <v/>
      </c>
      <c r="AM2" s="19" t="str" cm="1">
        <f t="array" ref="AM2">IF(AM$1="", "", _xlfn.LET(_xlpm.prices,_xlfn.ANCHORARRAY( Prices!AE2),_xlpm.p_curr, _xlfn.DROP(_xlpm.prices, 1),_xlpm.p_prev, _xlfn.DROP(_xlpm.prices, -1),_xlpm.ret, (_xlpm.p_curr / _xlpm.p_prev) - 1,IFERROR(_xlpm.ret, 0)))</f>
        <v/>
      </c>
      <c r="AN2" s="19" t="str" cm="1">
        <f t="array" ref="AN2">IF(AN$1="", "", _xlfn.LET(_xlpm.prices,_xlfn.ANCHORARRAY( Prices!AF2),_xlpm.p_curr, _xlfn.DROP(_xlpm.prices, 1),_xlpm.p_prev, _xlfn.DROP(_xlpm.prices, -1),_xlpm.ret, (_xlpm.p_curr / _xlpm.p_prev) - 1,IFERROR(_xlpm.ret, 0)))</f>
        <v/>
      </c>
      <c r="AO2" s="19" t="str" cm="1">
        <f t="array" ref="AO2">IF(AO$1="", "", _xlfn.LET(_xlpm.prices,_xlfn.ANCHORARRAY( Prices!AG2),_xlpm.p_curr, _xlfn.DROP(_xlpm.prices, 1),_xlpm.p_prev, _xlfn.DROP(_xlpm.prices, -1),_xlpm.ret, (_xlpm.p_curr / _xlpm.p_prev) - 1,IFERROR(_xlpm.ret, 0)))</f>
        <v/>
      </c>
      <c r="AP2" s="19" t="str" cm="1">
        <f t="array" ref="AP2">IF(AP$1="", "", _xlfn.LET(_xlpm.prices,_xlfn.ANCHORARRAY( Prices!AH2),_xlpm.p_curr, _xlfn.DROP(_xlpm.prices, 1),_xlpm.p_prev, _xlfn.DROP(_xlpm.prices, -1),_xlpm.ret, (_xlpm.p_curr / _xlpm.p_prev) - 1,IFERROR(_xlpm.ret, 0)))</f>
        <v/>
      </c>
      <c r="AQ2" s="19" t="str" cm="1">
        <f t="array" ref="AQ2">IF(AQ$1="", "", _xlfn.LET(_xlpm.prices,_xlfn.ANCHORARRAY( Prices!AI2),_xlpm.p_curr, _xlfn.DROP(_xlpm.prices, 1),_xlpm.p_prev, _xlfn.DROP(_xlpm.prices, -1),_xlpm.ret, (_xlpm.p_curr / _xlpm.p_prev) - 1,IFERROR(_xlpm.ret, 0)))</f>
        <v/>
      </c>
      <c r="AR2" s="19" t="str" cm="1">
        <f t="array" ref="AR2">IF(AR$1="", "", _xlfn.LET(_xlpm.prices,_xlfn.ANCHORARRAY( Prices!AJ2),_xlpm.p_curr, _xlfn.DROP(_xlpm.prices, 1),_xlpm.p_prev, _xlfn.DROP(_xlpm.prices, -1),_xlpm.ret, (_xlpm.p_curr / _xlpm.p_prev) - 1,IFERROR(_xlpm.ret, 0)))</f>
        <v/>
      </c>
      <c r="AS2" s="19" t="str" cm="1">
        <f t="array" ref="AS2">IF(AS$1="", "", _xlfn.LET(_xlpm.prices,_xlfn.ANCHORARRAY( Prices!AK2),_xlpm.p_curr, _xlfn.DROP(_xlpm.prices, 1),_xlpm.p_prev, _xlfn.DROP(_xlpm.prices, -1),_xlpm.ret, (_xlpm.p_curr / _xlpm.p_prev) - 1,IFERROR(_xlpm.ret, 0)))</f>
        <v/>
      </c>
      <c r="AT2" s="19" t="str" cm="1">
        <f t="array" ref="AT2">IF(AT$1="", "", _xlfn.LET(_xlpm.prices,_xlfn.ANCHORARRAY( Prices!AL2),_xlpm.p_curr, _xlfn.DROP(_xlpm.prices, 1),_xlpm.p_prev, _xlfn.DROP(_xlpm.prices, -1),_xlpm.ret, (_xlpm.p_curr / _xlpm.p_prev) - 1,IFERROR(_xlpm.ret, 0)))</f>
        <v/>
      </c>
      <c r="AU2" s="19" t="str" cm="1">
        <f t="array" ref="AU2">IF(AU$1="", "", _xlfn.LET(_xlpm.prices,_xlfn.ANCHORARRAY( Prices!AM2),_xlpm.p_curr, _xlfn.DROP(_xlpm.prices, 1),_xlpm.p_prev, _xlfn.DROP(_xlpm.prices, -1),_xlpm.ret, (_xlpm.p_curr / _xlpm.p_prev) - 1,IFERROR(_xlpm.ret, 0)))</f>
        <v/>
      </c>
      <c r="AV2" s="19" t="str" cm="1">
        <f t="array" ref="AV2">IF(AV$1="", "", _xlfn.LET(_xlpm.prices,_xlfn.ANCHORARRAY( Prices!AN2),_xlpm.p_curr, _xlfn.DROP(_xlpm.prices, 1),_xlpm.p_prev, _xlfn.DROP(_xlpm.prices, -1),_xlpm.ret, (_xlpm.p_curr / _xlpm.p_prev) - 1,IFERROR(_xlpm.ret, 0)))</f>
        <v/>
      </c>
      <c r="AW2" s="19" t="str" cm="1">
        <f t="array" ref="AW2">IF(AW$1="", "", _xlfn.LET(_xlpm.prices,_xlfn.ANCHORARRAY( Prices!AO2),_xlpm.p_curr, _xlfn.DROP(_xlpm.prices, 1),_xlpm.p_prev, _xlfn.DROP(_xlpm.prices, -1),_xlpm.ret, (_xlpm.p_curr / _xlpm.p_prev) - 1,IFERROR(_xlpm.ret, 0)))</f>
        <v/>
      </c>
      <c r="AX2" s="19" t="str" cm="1">
        <f t="array" ref="AX2">IF(AX$1="", "", _xlfn.LET(_xlpm.prices,_xlfn.ANCHORARRAY( Prices!AP2),_xlpm.p_curr, _xlfn.DROP(_xlpm.prices, 1),_xlpm.p_prev, _xlfn.DROP(_xlpm.prices, -1),_xlpm.ret, (_xlpm.p_curr / _xlpm.p_prev) - 1,IFERROR(_xlpm.ret, 0)))</f>
        <v/>
      </c>
      <c r="AY2" s="19" t="str" cm="1">
        <f t="array" ref="AY2">IF(AY$1="", "", _xlfn.LET(_xlpm.prices,_xlfn.ANCHORARRAY( Prices!AQ2),_xlpm.p_curr, _xlfn.DROP(_xlpm.prices, 1),_xlpm.p_prev, _xlfn.DROP(_xlpm.prices, -1),_xlpm.ret, (_xlpm.p_curr / _xlpm.p_prev) - 1,IFERROR(_xlpm.ret, 0)))</f>
        <v/>
      </c>
      <c r="AZ2" s="19" t="str" cm="1">
        <f t="array" ref="AZ2">IF(AZ$1="", "", _xlfn.LET(_xlpm.prices,_xlfn.ANCHORARRAY( Prices!AR2),_xlpm.p_curr, _xlfn.DROP(_xlpm.prices, 1),_xlpm.p_prev, _xlfn.DROP(_xlpm.prices, -1),_xlpm.ret, (_xlpm.p_curr / _xlpm.p_prev) - 1,IFERROR(_xlpm.ret, 0)))</f>
        <v/>
      </c>
      <c r="BA2" s="19" t="str" cm="1">
        <f t="array" ref="BA2">IF(BA$1="", "", _xlfn.LET(_xlpm.prices,_xlfn.ANCHORARRAY( Prices!AS2),_xlpm.p_curr, _xlfn.DROP(_xlpm.prices, 1),_xlpm.p_prev, _xlfn.DROP(_xlpm.prices, -1),_xlpm.ret, (_xlpm.p_curr / _xlpm.p_prev) - 1,IFERROR(_xlpm.ret, 0)))</f>
        <v/>
      </c>
      <c r="BB2" s="19" t="str" cm="1">
        <f t="array" ref="BB2">IF(BB$1="", "", _xlfn.LET(_xlpm.prices,_xlfn.ANCHORARRAY( Prices!AT2),_xlpm.p_curr, _xlfn.DROP(_xlpm.prices, 1),_xlpm.p_prev, _xlfn.DROP(_xlpm.prices, -1),_xlpm.ret, (_xlpm.p_curr / _xlpm.p_prev) - 1,IFERROR(_xlpm.ret, 0)))</f>
        <v/>
      </c>
      <c r="BC2" s="19" t="str" cm="1">
        <f t="array" ref="BC2">IF(BC$1="", "", _xlfn.LET(_xlpm.prices,_xlfn.ANCHORARRAY( Prices!AU2),_xlpm.p_curr, _xlfn.DROP(_xlpm.prices, 1),_xlpm.p_prev, _xlfn.DROP(_xlpm.prices, -1),_xlpm.ret, (_xlpm.p_curr / _xlpm.p_prev) - 1,IFERROR(_xlpm.ret, 0)))</f>
        <v/>
      </c>
      <c r="BD2" s="19" t="str" cm="1">
        <f t="array" ref="BD2">IF(BD$1="", "", _xlfn.LET(_xlpm.prices,_xlfn.ANCHORARRAY( Prices!AV2),_xlpm.p_curr, _xlfn.DROP(_xlpm.prices, 1),_xlpm.p_prev, _xlfn.DROP(_xlpm.prices, -1),_xlpm.ret, (_xlpm.p_curr / _xlpm.p_prev) - 1,IFERROR(_xlpm.ret, 0)))</f>
        <v/>
      </c>
      <c r="BE2" s="19" t="str" cm="1">
        <f t="array" ref="BE2">IF(BE$1="", "", _xlfn.LET(_xlpm.prices,_xlfn.ANCHORARRAY( Prices!AW2),_xlpm.p_curr, _xlfn.DROP(_xlpm.prices, 1),_xlpm.p_prev, _xlfn.DROP(_xlpm.prices, -1),_xlpm.ret, (_xlpm.p_curr / _xlpm.p_prev) - 1,IFERROR(_xlpm.ret, 0)))</f>
        <v/>
      </c>
      <c r="BF2" s="19" t="str" cm="1">
        <f t="array" ref="BF2">IF(BF$1="", "", _xlfn.LET(_xlpm.prices,_xlfn.ANCHORARRAY( Prices!AX2),_xlpm.p_curr, _xlfn.DROP(_xlpm.prices, 1),_xlpm.p_prev, _xlfn.DROP(_xlpm.prices, -1),_xlpm.ret, (_xlpm.p_curr / _xlpm.p_prev) - 1,IFERROR(_xlpm.ret, 0)))</f>
        <v/>
      </c>
      <c r="BG2" s="19" t="str" cm="1">
        <f t="array" ref="BG2">IF(BG$1="", "", _xlfn.LET(_xlpm.prices,_xlfn.ANCHORARRAY( Prices!AY2),_xlpm.p_curr, _xlfn.DROP(_xlpm.prices, 1),_xlpm.p_prev, _xlfn.DROP(_xlpm.prices, -1),_xlpm.ret, (_xlpm.p_curr / _xlpm.p_prev) - 1,IFERROR(_xlpm.ret, 0)))</f>
        <v/>
      </c>
      <c r="BH2" s="19" t="str" cm="1">
        <f t="array" ref="BH2">IF(BH$1="", "", _xlfn.LET(_xlpm.prices,_xlfn.ANCHORARRAY( Prices!AZ2),_xlpm.p_curr, _xlfn.DROP(_xlpm.prices, 1),_xlpm.p_prev, _xlfn.DROP(_xlpm.prices, -1),_xlpm.ret, (_xlpm.p_curr / _xlpm.p_prev) - 1,IFERROR(_xlpm.ret, 0)))</f>
        <v/>
      </c>
      <c r="BI2" s="19" t="str" cm="1">
        <f t="array" ref="BI2">IF(BI$1="", "", _xlfn.LET(_xlpm.prices,_xlfn.ANCHORARRAY( Prices!BA2),_xlpm.p_curr, _xlfn.DROP(_xlpm.prices, 1),_xlpm.p_prev, _xlfn.DROP(_xlpm.prices, -1),_xlpm.ret, (_xlpm.p_curr / _xlpm.p_prev) - 1,IFERROR(_xlpm.ret, 0)))</f>
        <v/>
      </c>
      <c r="BJ2" s="19" t="str" cm="1">
        <f t="array" ref="BJ2">IF(BJ$1="", "", _xlfn.LET(_xlpm.prices,_xlfn.ANCHORARRAY( Prices!BB2),_xlpm.p_curr, _xlfn.DROP(_xlpm.prices, 1),_xlpm.p_prev, _xlfn.DROP(_xlpm.prices, -1),_xlpm.ret, (_xlpm.p_curr / _xlpm.p_prev) - 1,IFERROR(_xlpm.ret, 0)))</f>
        <v/>
      </c>
      <c r="BK2" s="19" t="str" cm="1">
        <f t="array" ref="BK2">IF(BK$1="", "", _xlfn.LET(_xlpm.prices,_xlfn.ANCHORARRAY( Prices!BC2),_xlpm.p_curr, _xlfn.DROP(_xlpm.prices, 1),_xlpm.p_prev, _xlfn.DROP(_xlpm.prices, -1),_xlpm.ret, (_xlpm.p_curr / _xlpm.p_prev) - 1,IFERROR(_xlpm.ret, 0)))</f>
        <v/>
      </c>
      <c r="BL2" s="19" t="str" cm="1">
        <f t="array" ref="BL2">IF(BL$1="", "", _xlfn.LET(_xlpm.prices,_xlfn.ANCHORARRAY( Prices!BD2),_xlpm.p_curr, _xlfn.DROP(_xlpm.prices, 1),_xlpm.p_prev, _xlfn.DROP(_xlpm.prices, -1),_xlpm.ret, (_xlpm.p_curr / _xlpm.p_prev) - 1,IFERROR(_xlpm.ret, 0)))</f>
        <v/>
      </c>
      <c r="BM2" s="19" t="str" cm="1">
        <f t="array" ref="BM2">IF(BM$1="", "", _xlfn.LET(_xlpm.prices,_xlfn.ANCHORARRAY( Prices!BE2),_xlpm.p_curr, _xlfn.DROP(_xlpm.prices, 1),_xlpm.p_prev, _xlfn.DROP(_xlpm.prices, -1),_xlpm.ret, (_xlpm.p_curr / _xlpm.p_prev) - 1,IFERROR(_xlpm.ret, 0)))</f>
        <v/>
      </c>
      <c r="BN2" s="19" t="str" cm="1">
        <f t="array" ref="BN2">IF(BN$1="", "", _xlfn.LET(_xlpm.prices,_xlfn.ANCHORARRAY( Prices!BF2),_xlpm.p_curr, _xlfn.DROP(_xlpm.prices, 1),_xlpm.p_prev, _xlfn.DROP(_xlpm.prices, -1),_xlpm.ret, (_xlpm.p_curr / _xlpm.p_prev) - 1,IFERROR(_xlpm.ret, 0)))</f>
        <v/>
      </c>
      <c r="BO2" s="19" t="str" cm="1">
        <f t="array" ref="BO2">IF(BO$1="", "", _xlfn.LET(_xlpm.prices,_xlfn.ANCHORARRAY( Prices!BG2),_xlpm.p_curr, _xlfn.DROP(_xlpm.prices, 1),_xlpm.p_prev, _xlfn.DROP(_xlpm.prices, -1),_xlpm.ret, (_xlpm.p_curr / _xlpm.p_prev) - 1,IFERROR(_xlpm.ret, 0)))</f>
        <v/>
      </c>
      <c r="BP2" s="19" t="str" cm="1">
        <f t="array" ref="BP2">IF(BP$1="", "", _xlfn.LET(_xlpm.prices,_xlfn.ANCHORARRAY( Prices!BH2),_xlpm.p_curr, _xlfn.DROP(_xlpm.prices, 1),_xlpm.p_prev, _xlfn.DROP(_xlpm.prices, -1),_xlpm.ret, (_xlpm.p_curr / _xlpm.p_prev) - 1,IFERROR(_xlpm.ret, 0)))</f>
        <v/>
      </c>
      <c r="BQ2" s="19" t="str" cm="1">
        <f t="array" ref="BQ2">IF(BQ$1="", "", _xlfn.LET(_xlpm.prices,_xlfn.ANCHORARRAY( Prices!BI2),_xlpm.p_curr, _xlfn.DROP(_xlpm.prices, 1),_xlpm.p_prev, _xlfn.DROP(_xlpm.prices, -1),_xlpm.ret, (_xlpm.p_curr / _xlpm.p_prev) - 1,IFERROR(_xlpm.ret, 0)))</f>
        <v/>
      </c>
      <c r="BR2" s="19" t="str" cm="1">
        <f t="array" ref="BR2">IF(BR$1="", "", _xlfn.LET(_xlpm.prices,_xlfn.ANCHORARRAY( Prices!BJ2),_xlpm.p_curr, _xlfn.DROP(_xlpm.prices, 1),_xlpm.p_prev, _xlfn.DROP(_xlpm.prices, -1),_xlpm.ret, (_xlpm.p_curr / _xlpm.p_prev) - 1,IFERROR(_xlpm.ret, 0)))</f>
        <v/>
      </c>
      <c r="BS2" s="19" t="str" cm="1">
        <f t="array" ref="BS2">IF(BS$1="", "", _xlfn.LET(_xlpm.prices,_xlfn.ANCHORARRAY( Prices!BK2),_xlpm.p_curr, _xlfn.DROP(_xlpm.prices, 1),_xlpm.p_prev, _xlfn.DROP(_xlpm.prices, -1),_xlpm.ret, (_xlpm.p_curr / _xlpm.p_prev) - 1,IFERROR(_xlpm.ret, 0)))</f>
        <v/>
      </c>
      <c r="BT2" s="19" t="str" cm="1">
        <f t="array" ref="BT2">IF(BT$1="", "", _xlfn.LET(_xlpm.prices,_xlfn.ANCHORARRAY( Prices!BL2),_xlpm.p_curr, _xlfn.DROP(_xlpm.prices, 1),_xlpm.p_prev, _xlfn.DROP(_xlpm.prices, -1),_xlpm.ret, (_xlpm.p_curr / _xlpm.p_prev) - 1,IFERROR(_xlpm.ret, 0)))</f>
        <v/>
      </c>
      <c r="BU2" s="19" t="str" cm="1">
        <f t="array" ref="BU2">IF(BU$1="", "", _xlfn.LET(_xlpm.prices,_xlfn.ANCHORARRAY( Prices!BM2),_xlpm.p_curr, _xlfn.DROP(_xlpm.prices, 1),_xlpm.p_prev, _xlfn.DROP(_xlpm.prices, -1),_xlpm.ret, (_xlpm.p_curr / _xlpm.p_prev) - 1,IFERROR(_xlpm.ret, 0)))</f>
        <v/>
      </c>
      <c r="BV2" s="19" t="str" cm="1">
        <f t="array" ref="BV2">IF(BV$1="", "", _xlfn.LET(_xlpm.prices,_xlfn.ANCHORARRAY( Prices!BN2),_xlpm.p_curr, _xlfn.DROP(_xlpm.prices, 1),_xlpm.p_prev, _xlfn.DROP(_xlpm.prices, -1),_xlpm.ret, (_xlpm.p_curr / _xlpm.p_prev) - 1,IFERROR(_xlpm.ret, 0)))</f>
        <v/>
      </c>
      <c r="BW2" s="19" t="str" cm="1">
        <f t="array" ref="BW2">IF(BW$1="", "", _xlfn.LET(_xlpm.prices,_xlfn.ANCHORARRAY( Prices!BO2),_xlpm.p_curr, _xlfn.DROP(_xlpm.prices, 1),_xlpm.p_prev, _xlfn.DROP(_xlpm.prices, -1),_xlpm.ret, (_xlpm.p_curr / _xlpm.p_prev) - 1,IFERROR(_xlpm.ret, 0)))</f>
        <v/>
      </c>
      <c r="BX2" s="19" t="str" cm="1">
        <f t="array" ref="BX2">IF(BX$1="", "", _xlfn.LET(_xlpm.prices,_xlfn.ANCHORARRAY( Prices!BP2),_xlpm.p_curr, _xlfn.DROP(_xlpm.prices, 1),_xlpm.p_prev, _xlfn.DROP(_xlpm.prices, -1),_xlpm.ret, (_xlpm.p_curr / _xlpm.p_prev) - 1,IFERROR(_xlpm.ret, 0)))</f>
        <v/>
      </c>
      <c r="BY2" s="19" t="str" cm="1">
        <f t="array" ref="BY2">IF(BY$1="", "", _xlfn.LET(_xlpm.prices,_xlfn.ANCHORARRAY( Prices!BQ2),_xlpm.p_curr, _xlfn.DROP(_xlpm.prices, 1),_xlpm.p_prev, _xlfn.DROP(_xlpm.prices, -1),_xlpm.ret, (_xlpm.p_curr / _xlpm.p_prev) - 1,IFERROR(_xlpm.ret, 0)))</f>
        <v/>
      </c>
      <c r="BZ2" s="19" t="str" cm="1">
        <f t="array" ref="BZ2">IF(BZ$1="", "", _xlfn.LET(_xlpm.prices,_xlfn.ANCHORARRAY( Prices!BR2),_xlpm.p_curr, _xlfn.DROP(_xlpm.prices, 1),_xlpm.p_prev, _xlfn.DROP(_xlpm.prices, -1),_xlpm.ret, (_xlpm.p_curr / _xlpm.p_prev) - 1,IFERROR(_xlpm.ret, 0)))</f>
        <v/>
      </c>
      <c r="CA2" s="19" t="str" cm="1">
        <f t="array" ref="CA2">IF(CA$1="", "", _xlfn.LET(_xlpm.prices,_xlfn.ANCHORARRAY( Prices!BS2),_xlpm.p_curr, _xlfn.DROP(_xlpm.prices, 1),_xlpm.p_prev, _xlfn.DROP(_xlpm.prices, -1),_xlpm.ret, (_xlpm.p_curr / _xlpm.p_prev) - 1,IFERROR(_xlpm.ret, 0)))</f>
        <v/>
      </c>
      <c r="CB2" s="19" t="str" cm="1">
        <f t="array" ref="CB2">IF(CB$1="", "", _xlfn.LET(_xlpm.prices,_xlfn.ANCHORARRAY( Prices!BT2),_xlpm.p_curr, _xlfn.DROP(_xlpm.prices, 1),_xlpm.p_prev, _xlfn.DROP(_xlpm.prices, -1),_xlpm.ret, (_xlpm.p_curr / _xlpm.p_prev) - 1,IFERROR(_xlpm.ret, 0)))</f>
        <v/>
      </c>
      <c r="CC2" s="19" t="str" cm="1">
        <f t="array" ref="CC2">IF(CC$1="", "", _xlfn.LET(_xlpm.prices,_xlfn.ANCHORARRAY( Prices!BU2),_xlpm.p_curr, _xlfn.DROP(_xlpm.prices, 1),_xlpm.p_prev, _xlfn.DROP(_xlpm.prices, -1),_xlpm.ret, (_xlpm.p_curr / _xlpm.p_prev) - 1,IFERROR(_xlpm.ret, 0)))</f>
        <v/>
      </c>
      <c r="CD2" s="19" t="str" cm="1">
        <f t="array" ref="CD2">IF(CD$1="", "", _xlfn.LET(_xlpm.prices,_xlfn.ANCHORARRAY( Prices!BV2),_xlpm.p_curr, _xlfn.DROP(_xlpm.prices, 1),_xlpm.p_prev, _xlfn.DROP(_xlpm.prices, -1),_xlpm.ret, (_xlpm.p_curr / _xlpm.p_prev) - 1,IFERROR(_xlpm.ret, 0)))</f>
        <v/>
      </c>
      <c r="CE2" s="19" t="str" cm="1">
        <f t="array" ref="CE2">IF(CE$1="", "", _xlfn.LET(_xlpm.prices,_xlfn.ANCHORARRAY( Prices!BW2),_xlpm.p_curr, _xlfn.DROP(_xlpm.prices, 1),_xlpm.p_prev, _xlfn.DROP(_xlpm.prices, -1),_xlpm.ret, (_xlpm.p_curr / _xlpm.p_prev) - 1,IFERROR(_xlpm.ret, 0)))</f>
        <v/>
      </c>
      <c r="CF2" s="19" t="str" cm="1">
        <f t="array" ref="CF2">IF(CF$1="", "", _xlfn.LET(_xlpm.prices,_xlfn.ANCHORARRAY( Prices!BX2),_xlpm.p_curr, _xlfn.DROP(_xlpm.prices, 1),_xlpm.p_prev, _xlfn.DROP(_xlpm.prices, -1),_xlpm.ret, (_xlpm.p_curr / _xlpm.p_prev) - 1,IFERROR(_xlpm.ret, 0)))</f>
        <v/>
      </c>
      <c r="CG2" s="19" t="str" cm="1">
        <f t="array" ref="CG2">IF(CG$1="", "", _xlfn.LET(_xlpm.prices,_xlfn.ANCHORARRAY( Prices!BY2),_xlpm.p_curr, _xlfn.DROP(_xlpm.prices, 1),_xlpm.p_prev, _xlfn.DROP(_xlpm.prices, -1),_xlpm.ret, (_xlpm.p_curr / _xlpm.p_prev) - 1,IFERROR(_xlpm.ret, 0)))</f>
        <v/>
      </c>
      <c r="CH2" s="19" t="str" cm="1">
        <f t="array" ref="CH2">IF(CH$1="", "", _xlfn.LET(_xlpm.prices,_xlfn.ANCHORARRAY( Prices!BZ2),_xlpm.p_curr, _xlfn.DROP(_xlpm.prices, 1),_xlpm.p_prev, _xlfn.DROP(_xlpm.prices, -1),_xlpm.ret, (_xlpm.p_curr / _xlpm.p_prev) - 1,IFERROR(_xlpm.ret, 0)))</f>
        <v/>
      </c>
      <c r="CI2" s="19" t="str" cm="1">
        <f t="array" ref="CI2">IF(CI$1="", "", _xlfn.LET(_xlpm.prices,_xlfn.ANCHORARRAY( Prices!CA2),_xlpm.p_curr, _xlfn.DROP(_xlpm.prices, 1),_xlpm.p_prev, _xlfn.DROP(_xlpm.prices, -1),_xlpm.ret, (_xlpm.p_curr / _xlpm.p_prev) - 1,IFERROR(_xlpm.ret, 0)))</f>
        <v/>
      </c>
      <c r="CJ2" s="19" t="str" cm="1">
        <f t="array" ref="CJ2">IF(CJ$1="", "", _xlfn.LET(_xlpm.prices,_xlfn.ANCHORARRAY( Prices!CB2),_xlpm.p_curr, _xlfn.DROP(_xlpm.prices, 1),_xlpm.p_prev, _xlfn.DROP(_xlpm.prices, -1),_xlpm.ret, (_xlpm.p_curr / _xlpm.p_prev) - 1,IFERROR(_xlpm.ret, 0)))</f>
        <v/>
      </c>
      <c r="CK2" s="19" t="str" cm="1">
        <f t="array" ref="CK2">IF(CK$1="", "", _xlfn.LET(_xlpm.prices,_xlfn.ANCHORARRAY( Prices!CC2),_xlpm.p_curr, _xlfn.DROP(_xlpm.prices, 1),_xlpm.p_prev, _xlfn.DROP(_xlpm.prices, -1),_xlpm.ret, (_xlpm.p_curr / _xlpm.p_prev) - 1,IFERROR(_xlpm.ret, 0)))</f>
        <v/>
      </c>
      <c r="CL2" s="19" t="str" cm="1">
        <f t="array" ref="CL2">IF(CL$1="", "", _xlfn.LET(_xlpm.prices,_xlfn.ANCHORARRAY( Prices!CD2),_xlpm.p_curr, _xlfn.DROP(_xlpm.prices, 1),_xlpm.p_prev, _xlfn.DROP(_xlpm.prices, -1),_xlpm.ret, (_xlpm.p_curr / _xlpm.p_prev) - 1,IFERROR(_xlpm.ret, 0)))</f>
        <v/>
      </c>
      <c r="CM2" s="19" t="str" cm="1">
        <f t="array" ref="CM2">IF(CM$1="", "", _xlfn.LET(_xlpm.prices,_xlfn.ANCHORARRAY( Prices!CE2),_xlpm.p_curr, _xlfn.DROP(_xlpm.prices, 1),_xlpm.p_prev, _xlfn.DROP(_xlpm.prices, -1),_xlpm.ret, (_xlpm.p_curr / _xlpm.p_prev) - 1,IFERROR(_xlpm.ret, 0)))</f>
        <v/>
      </c>
      <c r="CN2" s="19" t="str" cm="1">
        <f t="array" ref="CN2">IF(CN$1="", "", _xlfn.LET(_xlpm.prices,_xlfn.ANCHORARRAY( Prices!CF2),_xlpm.p_curr, _xlfn.DROP(_xlpm.prices, 1),_xlpm.p_prev, _xlfn.DROP(_xlpm.prices, -1),_xlpm.ret, (_xlpm.p_curr / _xlpm.p_prev) - 1,IFERROR(_xlpm.ret, 0)))</f>
        <v/>
      </c>
      <c r="CO2" s="19" t="str" cm="1">
        <f t="array" ref="CO2">IF(CO$1="", "", _xlfn.LET(_xlpm.prices,_xlfn.ANCHORARRAY( Prices!CG2),_xlpm.p_curr, _xlfn.DROP(_xlpm.prices, 1),_xlpm.p_prev, _xlfn.DROP(_xlpm.prices, -1),_xlpm.ret, (_xlpm.p_curr / _xlpm.p_prev) - 1,IFERROR(_xlpm.ret, 0)))</f>
        <v/>
      </c>
      <c r="CP2" s="19" t="str" cm="1">
        <f t="array" ref="CP2">IF(CP$1="", "", _xlfn.LET(_xlpm.prices,_xlfn.ANCHORARRAY( Prices!CH2),_xlpm.p_curr, _xlfn.DROP(_xlpm.prices, 1),_xlpm.p_prev, _xlfn.DROP(_xlpm.prices, -1),_xlpm.ret, (_xlpm.p_curr / _xlpm.p_prev) - 1,IFERROR(_xlpm.ret, 0)))</f>
        <v/>
      </c>
      <c r="CQ2" s="19" t="str" cm="1">
        <f t="array" ref="CQ2">IF(CQ$1="", "", _xlfn.LET(_xlpm.prices,_xlfn.ANCHORARRAY( Prices!CI2),_xlpm.p_curr, _xlfn.DROP(_xlpm.prices, 1),_xlpm.p_prev, _xlfn.DROP(_xlpm.prices, -1),_xlpm.ret, (_xlpm.p_curr / _xlpm.p_prev) - 1,IFERROR(_xlpm.ret, 0)))</f>
        <v/>
      </c>
      <c r="CR2" s="19" t="str" cm="1">
        <f t="array" ref="CR2">IF(CR$1="", "", _xlfn.LET(_xlpm.prices,_xlfn.ANCHORARRAY( Prices!CJ2),_xlpm.p_curr, _xlfn.DROP(_xlpm.prices, 1),_xlpm.p_prev, _xlfn.DROP(_xlpm.prices, -1),_xlpm.ret, (_xlpm.p_curr / _xlpm.p_prev) - 1,IFERROR(_xlpm.ret, 0)))</f>
        <v/>
      </c>
      <c r="CS2" s="19" t="str" cm="1">
        <f t="array" ref="CS2">IF(CS$1="", "", _xlfn.LET(_xlpm.prices,_xlfn.ANCHORARRAY( Prices!CK2),_xlpm.p_curr, _xlfn.DROP(_xlpm.prices, 1),_xlpm.p_prev, _xlfn.DROP(_xlpm.prices, -1),_xlpm.ret, (_xlpm.p_curr / _xlpm.p_prev) - 1,IFERROR(_xlpm.ret, 0)))</f>
        <v/>
      </c>
      <c r="CT2" s="19" t="str" cm="1">
        <f t="array" ref="CT2">IF(CT$1="", "", _xlfn.LET(_xlpm.prices,_xlfn.ANCHORARRAY( Prices!CL2),_xlpm.p_curr, _xlfn.DROP(_xlpm.prices, 1),_xlpm.p_prev, _xlfn.DROP(_xlpm.prices, -1),_xlpm.ret, (_xlpm.p_curr / _xlpm.p_prev) - 1,IFERROR(_xlpm.ret, 0)))</f>
        <v/>
      </c>
      <c r="CU2" s="19" t="str" cm="1">
        <f t="array" ref="CU2">IF(CU$1="", "", _xlfn.LET(_xlpm.prices,_xlfn.ANCHORARRAY( Prices!CM2),_xlpm.p_curr, _xlfn.DROP(_xlpm.prices, 1),_xlpm.p_prev, _xlfn.DROP(_xlpm.prices, -1),_xlpm.ret, (_xlpm.p_curr / _xlpm.p_prev) - 1,IFERROR(_xlpm.ret, 0)))</f>
        <v/>
      </c>
      <c r="CV2" s="19" t="str" cm="1">
        <f t="array" ref="CV2">IF(CV$1="", "", _xlfn.LET(_xlpm.prices,_xlfn.ANCHORARRAY( Prices!CN2),_xlpm.p_curr, _xlfn.DROP(_xlpm.prices, 1),_xlpm.p_prev, _xlfn.DROP(_xlpm.prices, -1),_xlpm.ret, (_xlpm.p_curr / _xlpm.p_prev) - 1,IFERROR(_xlpm.ret, 0)))</f>
        <v/>
      </c>
      <c r="CW2" s="19" t="str" cm="1">
        <f t="array" ref="CW2">IF(CW$1="", "", _xlfn.LET(_xlpm.prices,_xlfn.ANCHORARRAY( Prices!CO2),_xlpm.p_curr, _xlfn.DROP(_xlpm.prices, 1),_xlpm.p_prev, _xlfn.DROP(_xlpm.prices, -1),_xlpm.ret, (_xlpm.p_curr / _xlpm.p_prev) - 1,IFERROR(_xlpm.ret, 0)))</f>
        <v/>
      </c>
      <c r="CX2" s="19" t="str" cm="1">
        <f t="array" ref="CX2">IF(CX$1="", "", _xlfn.LET(_xlpm.prices,_xlfn.ANCHORARRAY( Prices!CP2),_xlpm.p_curr, _xlfn.DROP(_xlpm.prices, 1),_xlpm.p_prev, _xlfn.DROP(_xlpm.prices, -1),_xlpm.ret, (_xlpm.p_curr / _xlpm.p_prev) - 1,IFERROR(_xlpm.ret, 0)))</f>
        <v/>
      </c>
      <c r="CY2" s="19" t="str" cm="1">
        <f t="array" ref="CY2">IF(CY$1="", "", _xlfn.LET(_xlpm.prices,_xlfn.ANCHORARRAY( Prices!CQ2),_xlpm.p_curr, _xlfn.DROP(_xlpm.prices, 1),_xlpm.p_prev, _xlfn.DROP(_xlpm.prices, -1),_xlpm.ret, (_xlpm.p_curr / _xlpm.p_prev) - 1,IFERROR(_xlpm.ret, 0)))</f>
        <v/>
      </c>
      <c r="CZ2" s="19" t="str" cm="1">
        <f t="array" ref="CZ2">IF(CZ$1="", "", _xlfn.LET(_xlpm.prices,_xlfn.ANCHORARRAY( Prices!CR2),_xlpm.p_curr, _xlfn.DROP(_xlpm.prices, 1),_xlpm.p_prev, _xlfn.DROP(_xlpm.prices, -1),_xlpm.ret, (_xlpm.p_curr / _xlpm.p_prev) - 1,IFERROR(_xlpm.ret, 0)))</f>
        <v/>
      </c>
      <c r="DA2" s="19" t="str" cm="1">
        <f t="array" ref="DA2">IF(DA$1="", "", _xlfn.LET(_xlpm.prices,_xlfn.ANCHORARRAY( Prices!CS2),_xlpm.p_curr, _xlfn.DROP(_xlpm.prices, 1),_xlpm.p_prev, _xlfn.DROP(_xlpm.prices, -1),_xlpm.ret, (_xlpm.p_curr / _xlpm.p_prev) - 1,IFERROR(_xlpm.ret, 0)))</f>
        <v/>
      </c>
      <c r="DB2" s="19" t="str" cm="1">
        <f t="array" ref="DB2">IF(DB$1="", "", _xlfn.LET(_xlpm.prices,_xlfn.ANCHORARRAY( Prices!CT2),_xlpm.p_curr, _xlfn.DROP(_xlpm.prices, 1),_xlpm.p_prev, _xlfn.DROP(_xlpm.prices, -1),_xlpm.ret, (_xlpm.p_curr / _xlpm.p_prev) - 1,IFERROR(_xlpm.ret, 0)))</f>
        <v/>
      </c>
      <c r="DC2" s="19" t="str" cm="1">
        <f t="array" ref="DC2">IF(DC$1="", "", _xlfn.LET(_xlpm.prices,_xlfn.ANCHORARRAY( Prices!CU2),_xlpm.p_curr, _xlfn.DROP(_xlpm.prices, 1),_xlpm.p_prev, _xlfn.DROP(_xlpm.prices, -1),_xlpm.ret, (_xlpm.p_curr / _xlpm.p_prev) - 1,IFERROR(_xlpm.ret, 0)))</f>
        <v/>
      </c>
      <c r="DD2" s="19" t="str" cm="1">
        <f t="array" ref="DD2">IF(DD$1="", "", _xlfn.LET(_xlpm.prices,_xlfn.ANCHORARRAY( Prices!CV2),_xlpm.p_curr, _xlfn.DROP(_xlpm.prices, 1),_xlpm.p_prev, _xlfn.DROP(_xlpm.prices, -1),_xlpm.ret, (_xlpm.p_curr / _xlpm.p_prev) - 1,IFERROR(_xlpm.ret, 0)))</f>
        <v/>
      </c>
      <c r="DE2" s="19" t="str" cm="1">
        <f t="array" ref="DE2">IF(DE$1="", "", _xlfn.LET(_xlpm.prices,_xlfn.ANCHORARRAY( Prices!CW2),_xlpm.p_curr, _xlfn.DROP(_xlpm.prices, 1),_xlpm.p_prev, _xlfn.DROP(_xlpm.prices, -1),_xlpm.ret, (_xlpm.p_curr / _xlpm.p_prev) - 1,IFERROR(_xlpm.ret, 0)))</f>
        <v/>
      </c>
      <c r="DF2" s="19" t="str" cm="1">
        <f t="array" ref="DF2">IF(DF$1="", "", _xlfn.LET(_xlpm.prices,_xlfn.ANCHORARRAY( Prices!CX2),_xlpm.p_curr, _xlfn.DROP(_xlpm.prices, 1),_xlpm.p_prev, _xlfn.DROP(_xlpm.prices, -1),_xlpm.ret, (_xlpm.p_curr / _xlpm.p_prev) - 1,IFERROR(_xlpm.ret, 0)))</f>
        <v/>
      </c>
      <c r="DG2" s="19" t="str" cm="1">
        <f t="array" ref="DG2">IF(DG$1="", "", _xlfn.LET(_xlpm.prices,_xlfn.ANCHORARRAY( Prices!CY2),_xlpm.p_curr, _xlfn.DROP(_xlpm.prices, 1),_xlpm.p_prev, _xlfn.DROP(_xlpm.prices, -1),_xlpm.ret, (_xlpm.p_curr / _xlpm.p_prev) - 1,IFERROR(_xlpm.ret, 0)))</f>
        <v/>
      </c>
      <c r="DH2" s="19" t="str" cm="1">
        <f t="array" ref="DH2">IF(DH$1="", "", _xlfn.LET(_xlpm.prices,_xlfn.ANCHORARRAY( Prices!CZ2),_xlpm.p_curr, _xlfn.DROP(_xlpm.prices, 1),_xlpm.p_prev, _xlfn.DROP(_xlpm.prices, -1),_xlpm.ret, (_xlpm.p_curr / _xlpm.p_prev) - 1,IFERROR(_xlpm.ret, 0)))</f>
        <v/>
      </c>
      <c r="DI2" s="19" t="str" cm="1">
        <f t="array" ref="DI2">IF(DI$1="", "", _xlfn.LET(_xlpm.prices,_xlfn.ANCHORARRAY( Prices!DA2),_xlpm.p_curr, _xlfn.DROP(_xlpm.prices, 1),_xlpm.p_prev, _xlfn.DROP(_xlpm.prices, -1),_xlpm.ret, (_xlpm.p_curr / _xlpm.p_prev) - 1,IFERROR(_xlpm.ret, 0)))</f>
        <v/>
      </c>
      <c r="DJ2" s="19" t="str" cm="1">
        <f t="array" ref="DJ2">IF(DJ$1="", "", _xlfn.LET(_xlpm.prices,_xlfn.ANCHORARRAY( Prices!DB2),_xlpm.p_curr, _xlfn.DROP(_xlpm.prices, 1),_xlpm.p_prev, _xlfn.DROP(_xlpm.prices, -1),_xlpm.ret, (_xlpm.p_curr / _xlpm.p_prev) - 1,IFERROR(_xlpm.ret, 0)))</f>
        <v/>
      </c>
      <c r="DK2" s="19" t="str" cm="1">
        <f t="array" ref="DK2">IF(DK$1="", "", _xlfn.LET(_xlpm.prices,_xlfn.ANCHORARRAY( Prices!DC2),_xlpm.p_curr, _xlfn.DROP(_xlpm.prices, 1),_xlpm.p_prev, _xlfn.DROP(_xlpm.prices, -1),_xlpm.ret, (_xlpm.p_curr / _xlpm.p_prev) - 1,IFERROR(_xlpm.ret, 0)))</f>
        <v/>
      </c>
      <c r="DL2" s="19" t="str" cm="1">
        <f t="array" ref="DL2">IF(DL$1="", "", _xlfn.LET(_xlpm.prices,_xlfn.ANCHORARRAY( Prices!DD2),_xlpm.p_curr, _xlfn.DROP(_xlpm.prices, 1),_xlpm.p_prev, _xlfn.DROP(_xlpm.prices, -1),_xlpm.ret, (_xlpm.p_curr / _xlpm.p_prev) - 1,IFERROR(_xlpm.ret, 0)))</f>
        <v/>
      </c>
      <c r="DM2" s="19" t="str" cm="1">
        <f t="array" ref="DM2">IF(DM$1="", "", _xlfn.LET(_xlpm.prices,_xlfn.ANCHORARRAY( Prices!DE2),_xlpm.p_curr, _xlfn.DROP(_xlpm.prices, 1),_xlpm.p_prev, _xlfn.DROP(_xlpm.prices, -1),_xlpm.ret, (_xlpm.p_curr / _xlpm.p_prev) - 1,IFERROR(_xlpm.ret, 0)))</f>
        <v/>
      </c>
      <c r="DN2" s="19" t="str" cm="1">
        <f t="array" ref="DN2">IF(DN$1="", "", _xlfn.LET(_xlpm.prices,_xlfn.ANCHORARRAY( Prices!DF2),_xlpm.p_curr, _xlfn.DROP(_xlpm.prices, 1),_xlpm.p_prev, _xlfn.DROP(_xlpm.prices, -1),_xlpm.ret, (_xlpm.p_curr / _xlpm.p_prev) - 1,IFERROR(_xlpm.ret, 0)))</f>
        <v/>
      </c>
      <c r="DO2" s="19" t="str" cm="1">
        <f t="array" ref="DO2">IF(DO$1="", "", _xlfn.LET(_xlpm.prices,_xlfn.ANCHORARRAY( Prices!DG2),_xlpm.p_curr, _xlfn.DROP(_xlpm.prices, 1),_xlpm.p_prev, _xlfn.DROP(_xlpm.prices, -1),_xlpm.ret, (_xlpm.p_curr / _xlpm.p_prev) - 1,IFERROR(_xlpm.ret, 0)))</f>
        <v/>
      </c>
      <c r="DP2" s="19" t="str" cm="1">
        <f t="array" ref="DP2">IF(DP$1="", "", _xlfn.LET(_xlpm.prices,_xlfn.ANCHORARRAY( Prices!DH2),_xlpm.p_curr, _xlfn.DROP(_xlpm.prices, 1),_xlpm.p_prev, _xlfn.DROP(_xlpm.prices, -1),_xlpm.ret, (_xlpm.p_curr / _xlpm.p_prev) - 1,IFERROR(_xlpm.ret, 0)))</f>
        <v/>
      </c>
      <c r="DQ2" s="19" t="str" cm="1">
        <f t="array" ref="DQ2">IF(DQ$1="", "", _xlfn.LET(_xlpm.prices,_xlfn.ANCHORARRAY( Prices!DI2),_xlpm.p_curr, _xlfn.DROP(_xlpm.prices, 1),_xlpm.p_prev, _xlfn.DROP(_xlpm.prices, -1),_xlpm.ret, (_xlpm.p_curr / _xlpm.p_prev) - 1,IFERROR(_xlpm.ret, 0)))</f>
        <v/>
      </c>
      <c r="DR2" s="19" t="str" cm="1">
        <f t="array" ref="DR2">IF(DR$1="", "", _xlfn.LET(_xlpm.prices,_xlfn.ANCHORARRAY( Prices!DJ2),_xlpm.p_curr, _xlfn.DROP(_xlpm.prices, 1),_xlpm.p_prev, _xlfn.DROP(_xlpm.prices, -1),_xlpm.ret, (_xlpm.p_curr / _xlpm.p_prev) - 1,IFERROR(_xlpm.ret, 0)))</f>
        <v/>
      </c>
      <c r="DS2" s="19" t="str" cm="1">
        <f t="array" ref="DS2">IF(DS$1="", "", _xlfn.LET(_xlpm.prices,_xlfn.ANCHORARRAY( Prices!DK2),_xlpm.p_curr, _xlfn.DROP(_xlpm.prices, 1),_xlpm.p_prev, _xlfn.DROP(_xlpm.prices, -1),_xlpm.ret, (_xlpm.p_curr / _xlpm.p_prev) - 1,IFERROR(_xlpm.ret, 0)))</f>
        <v/>
      </c>
      <c r="DT2" s="19" t="str" cm="1">
        <f t="array" ref="DT2">IF(DT$1="", "", _xlfn.LET(_xlpm.prices,_xlfn.ANCHORARRAY( Prices!DL2),_xlpm.p_curr, _xlfn.DROP(_xlpm.prices, 1),_xlpm.p_prev, _xlfn.DROP(_xlpm.prices, -1),_xlpm.ret, (_xlpm.p_curr / _xlpm.p_prev) - 1,IFERROR(_xlpm.ret, 0)))</f>
        <v/>
      </c>
      <c r="DU2" s="19" t="str" cm="1">
        <f t="array" ref="DU2">IF(DU$1="", "", _xlfn.LET(_xlpm.prices,_xlfn.ANCHORARRAY( Prices!DM2),_xlpm.p_curr, _xlfn.DROP(_xlpm.prices, 1),_xlpm.p_prev, _xlfn.DROP(_xlpm.prices, -1),_xlpm.ret, (_xlpm.p_curr / _xlpm.p_prev) - 1,IFERROR(_xlpm.ret, 0)))</f>
        <v/>
      </c>
      <c r="DV2" s="19" t="str" cm="1">
        <f t="array" ref="DV2">IF(DV$1="", "", _xlfn.LET(_xlpm.prices,_xlfn.ANCHORARRAY( Prices!DN2),_xlpm.p_curr, _xlfn.DROP(_xlpm.prices, 1),_xlpm.p_prev, _xlfn.DROP(_xlpm.prices, -1),_xlpm.ret, (_xlpm.p_curr / _xlpm.p_prev) - 1,IFERROR(_xlpm.ret, 0)))</f>
        <v/>
      </c>
      <c r="DW2" s="19" t="str" cm="1">
        <f t="array" ref="DW2">IF(DW$1="", "", _xlfn.LET(_xlpm.prices,_xlfn.ANCHORARRAY( Prices!DO2),_xlpm.p_curr, _xlfn.DROP(_xlpm.prices, 1),_xlpm.p_prev, _xlfn.DROP(_xlpm.prices, -1),_xlpm.ret, (_xlpm.p_curr / _xlpm.p_prev) - 1,IFERROR(_xlpm.ret, 0)))</f>
        <v/>
      </c>
      <c r="DX2" s="19" t="str" cm="1">
        <f t="array" ref="DX2">IF(DX$1="", "", _xlfn.LET(_xlpm.prices,_xlfn.ANCHORARRAY( Prices!DP2),_xlpm.p_curr, _xlfn.DROP(_xlpm.prices, 1),_xlpm.p_prev, _xlfn.DROP(_xlpm.prices, -1),_xlpm.ret, (_xlpm.p_curr / _xlpm.p_prev) - 1,IFERROR(_xlpm.ret, 0)))</f>
        <v/>
      </c>
      <c r="DY2" s="19" t="str" cm="1">
        <f t="array" ref="DY2">IF(DY$1="", "", _xlfn.LET(_xlpm.prices,_xlfn.ANCHORARRAY( Prices!DQ2),_xlpm.p_curr, _xlfn.DROP(_xlpm.prices, 1),_xlpm.p_prev, _xlfn.DROP(_xlpm.prices, -1),_xlpm.ret, (_xlpm.p_curr / _xlpm.p_prev) - 1,IFERROR(_xlpm.ret, 0)))</f>
        <v/>
      </c>
      <c r="DZ2" s="19" t="str" cm="1">
        <f t="array" ref="DZ2">IF(DZ$1="", "", _xlfn.LET(_xlpm.prices,_xlfn.ANCHORARRAY( Prices!DR2),_xlpm.p_curr, _xlfn.DROP(_xlpm.prices, 1),_xlpm.p_prev, _xlfn.DROP(_xlpm.prices, -1),_xlpm.ret, (_xlpm.p_curr / _xlpm.p_prev) - 1,IFERROR(_xlpm.ret, 0)))</f>
        <v/>
      </c>
      <c r="EA2" s="19" t="str" cm="1">
        <f t="array" ref="EA2">IF(EA$1="", "", _xlfn.LET(_xlpm.prices,_xlfn.ANCHORARRAY( Prices!DS2),_xlpm.p_curr, _xlfn.DROP(_xlpm.prices, 1),_xlpm.p_prev, _xlfn.DROP(_xlpm.prices, -1),_xlpm.ret, (_xlpm.p_curr / _xlpm.p_prev) - 1,IFERROR(_xlpm.ret, 0)))</f>
        <v/>
      </c>
      <c r="EB2" s="19" t="str" cm="1">
        <f t="array" ref="EB2">IF(EB$1="", "", _xlfn.LET(_xlpm.prices,_xlfn.ANCHORARRAY( Prices!DT2),_xlpm.p_curr, _xlfn.DROP(_xlpm.prices, 1),_xlpm.p_prev, _xlfn.DROP(_xlpm.prices, -1),_xlpm.ret, (_xlpm.p_curr / _xlpm.p_prev) - 1,IFERROR(_xlpm.ret, 0)))</f>
        <v/>
      </c>
      <c r="EC2" s="19" t="str" cm="1">
        <f t="array" ref="EC2">IF(EC$1="", "", _xlfn.LET(_xlpm.prices,_xlfn.ANCHORARRAY( Prices!DU2),_xlpm.p_curr, _xlfn.DROP(_xlpm.prices, 1),_xlpm.p_prev, _xlfn.DROP(_xlpm.prices, -1),_xlpm.ret, (_xlpm.p_curr / _xlpm.p_prev) - 1,IFERROR(_xlpm.ret, 0)))</f>
        <v/>
      </c>
      <c r="ED2" s="19" t="str" cm="1">
        <f t="array" ref="ED2">IF(ED$1="", "", _xlfn.LET(_xlpm.prices,_xlfn.ANCHORARRAY( Prices!DV2),_xlpm.p_curr, _xlfn.DROP(_xlpm.prices, 1),_xlpm.p_prev, _xlfn.DROP(_xlpm.prices, -1),_xlpm.ret, (_xlpm.p_curr / _xlpm.p_prev) - 1,IFERROR(_xlpm.ret, 0)))</f>
        <v/>
      </c>
      <c r="EE2" s="19" t="str" cm="1">
        <f t="array" ref="EE2">IF(EE$1="", "", _xlfn.LET(_xlpm.prices,_xlfn.ANCHORARRAY( Prices!DW2),_xlpm.p_curr, _xlfn.DROP(_xlpm.prices, 1),_xlpm.p_prev, _xlfn.DROP(_xlpm.prices, -1),_xlpm.ret, (_xlpm.p_curr / _xlpm.p_prev) - 1,IFERROR(_xlpm.ret, 0)))</f>
        <v/>
      </c>
      <c r="EF2" s="19" t="str" cm="1">
        <f t="array" ref="EF2">IF(EF$1="", "", _xlfn.LET(_xlpm.prices,_xlfn.ANCHORARRAY( Prices!DX2),_xlpm.p_curr, _xlfn.DROP(_xlpm.prices, 1),_xlpm.p_prev, _xlfn.DROP(_xlpm.prices, -1),_xlpm.ret, (_xlpm.p_curr / _xlpm.p_prev) - 1,IFERROR(_xlpm.ret, 0)))</f>
        <v/>
      </c>
      <c r="EG2" s="19" t="str" cm="1">
        <f t="array" ref="EG2">IF(EG$1="", "", _xlfn.LET(_xlpm.prices,_xlfn.ANCHORARRAY( Prices!DY2),_xlpm.p_curr, _xlfn.DROP(_xlpm.prices, 1),_xlpm.p_prev, _xlfn.DROP(_xlpm.prices, -1),_xlpm.ret, (_xlpm.p_curr / _xlpm.p_prev) - 1,IFERROR(_xlpm.ret, 0)))</f>
        <v/>
      </c>
      <c r="EH2" s="19" t="str" cm="1">
        <f t="array" ref="EH2">IF(EH$1="", "", _xlfn.LET(_xlpm.prices,_xlfn.ANCHORARRAY( Prices!DZ2),_xlpm.p_curr, _xlfn.DROP(_xlpm.prices, 1),_xlpm.p_prev, _xlfn.DROP(_xlpm.prices, -1),_xlpm.ret, (_xlpm.p_curr / _xlpm.p_prev) - 1,IFERROR(_xlpm.ret, 0)))</f>
        <v/>
      </c>
      <c r="EI2" s="19" t="str" cm="1">
        <f t="array" ref="EI2">IF(EI$1="", "", _xlfn.LET(_xlpm.prices,_xlfn.ANCHORARRAY( Prices!EA2),_xlpm.p_curr, _xlfn.DROP(_xlpm.prices, 1),_xlpm.p_prev, _xlfn.DROP(_xlpm.prices, -1),_xlpm.ret, (_xlpm.p_curr / _xlpm.p_prev) - 1,IFERROR(_xlpm.ret, 0)))</f>
        <v/>
      </c>
      <c r="EJ2" s="19" t="str" cm="1">
        <f t="array" ref="EJ2">IF(EJ$1="", "", _xlfn.LET(_xlpm.prices,_xlfn.ANCHORARRAY( Prices!EB2),_xlpm.p_curr, _xlfn.DROP(_xlpm.prices, 1),_xlpm.p_prev, _xlfn.DROP(_xlpm.prices, -1),_xlpm.ret, (_xlpm.p_curr / _xlpm.p_prev) - 1,IFERROR(_xlpm.ret, 0)))</f>
        <v/>
      </c>
      <c r="EK2" s="19" t="str" cm="1">
        <f t="array" ref="EK2">IF(EK$1="", "", _xlfn.LET(_xlpm.prices,_xlfn.ANCHORARRAY( Prices!EC2),_xlpm.p_curr, _xlfn.DROP(_xlpm.prices, 1),_xlpm.p_prev, _xlfn.DROP(_xlpm.prices, -1),_xlpm.ret, (_xlpm.p_curr / _xlpm.p_prev) - 1,IFERROR(_xlpm.ret, 0)))</f>
        <v/>
      </c>
      <c r="EL2" s="19" t="str" cm="1">
        <f t="array" ref="EL2">IF(EL$1="", "", _xlfn.LET(_xlpm.prices,_xlfn.ANCHORARRAY( Prices!ED2),_xlpm.p_curr, _xlfn.DROP(_xlpm.prices, 1),_xlpm.p_prev, _xlfn.DROP(_xlpm.prices, -1),_xlpm.ret, (_xlpm.p_curr / _xlpm.p_prev) - 1,IFERROR(_xlpm.ret, 0)))</f>
        <v/>
      </c>
      <c r="EM2" s="19" t="str" cm="1">
        <f t="array" ref="EM2">IF(EM$1="", "", _xlfn.LET(_xlpm.prices,_xlfn.ANCHORARRAY( Prices!EE2),_xlpm.p_curr, _xlfn.DROP(_xlpm.prices, 1),_xlpm.p_prev, _xlfn.DROP(_xlpm.prices, -1),_xlpm.ret, (_xlpm.p_curr / _xlpm.p_prev) - 1,IFERROR(_xlpm.ret, 0)))</f>
        <v/>
      </c>
      <c r="EN2" s="19" t="str" cm="1">
        <f t="array" ref="EN2">IF(EN$1="", "", _xlfn.LET(_xlpm.prices,_xlfn.ANCHORARRAY( Prices!EF2),_xlpm.p_curr, _xlfn.DROP(_xlpm.prices, 1),_xlpm.p_prev, _xlfn.DROP(_xlpm.prices, -1),_xlpm.ret, (_xlpm.p_curr / _xlpm.p_prev) - 1,IFERROR(_xlpm.ret, 0)))</f>
        <v/>
      </c>
      <c r="EO2" s="19" t="str" cm="1">
        <f t="array" ref="EO2">IF(EO$1="", "", _xlfn.LET(_xlpm.prices,_xlfn.ANCHORARRAY( Prices!EG2),_xlpm.p_curr, _xlfn.DROP(_xlpm.prices, 1),_xlpm.p_prev, _xlfn.DROP(_xlpm.prices, -1),_xlpm.ret, (_xlpm.p_curr / _xlpm.p_prev) - 1,IFERROR(_xlpm.ret, 0)))</f>
        <v/>
      </c>
      <c r="EP2" s="19" t="str" cm="1">
        <f t="array" ref="EP2">IF(EP$1="", "", _xlfn.LET(_xlpm.prices,_xlfn.ANCHORARRAY( Prices!EH2),_xlpm.p_curr, _xlfn.DROP(_xlpm.prices, 1),_xlpm.p_prev, _xlfn.DROP(_xlpm.prices, -1),_xlpm.ret, (_xlpm.p_curr / _xlpm.p_prev) - 1,IFERROR(_xlpm.ret, 0)))</f>
        <v/>
      </c>
      <c r="EQ2" s="19" t="str" cm="1">
        <f t="array" ref="EQ2">IF(EQ$1="", "", _xlfn.LET(_xlpm.prices,_xlfn.ANCHORARRAY( Prices!EI2),_xlpm.p_curr, _xlfn.DROP(_xlpm.prices, 1),_xlpm.p_prev, _xlfn.DROP(_xlpm.prices, -1),_xlpm.ret, (_xlpm.p_curr / _xlpm.p_prev) - 1,IFERROR(_xlpm.ret, 0)))</f>
        <v/>
      </c>
      <c r="ER2" s="19" t="str" cm="1">
        <f t="array" ref="ER2">IF(ER$1="", "", _xlfn.LET(_xlpm.prices,_xlfn.ANCHORARRAY( Prices!EJ2),_xlpm.p_curr, _xlfn.DROP(_xlpm.prices, 1),_xlpm.p_prev, _xlfn.DROP(_xlpm.prices, -1),_xlpm.ret, (_xlpm.p_curr / _xlpm.p_prev) - 1,IFERROR(_xlpm.ret, 0)))</f>
        <v/>
      </c>
      <c r="ES2" s="19" t="str" cm="1">
        <f t="array" ref="ES2">IF(ES$1="", "", _xlfn.LET(_xlpm.prices,_xlfn.ANCHORARRAY( Prices!EK2),_xlpm.p_curr, _xlfn.DROP(_xlpm.prices, 1),_xlpm.p_prev, _xlfn.DROP(_xlpm.prices, -1),_xlpm.ret, (_xlpm.p_curr / _xlpm.p_prev) - 1,IFERROR(_xlpm.ret, 0)))</f>
        <v/>
      </c>
      <c r="ET2" s="19" t="str" cm="1">
        <f t="array" ref="ET2">IF(ET$1="", "", _xlfn.LET(_xlpm.prices,_xlfn.ANCHORARRAY( Prices!EL2),_xlpm.p_curr, _xlfn.DROP(_xlpm.prices, 1),_xlpm.p_prev, _xlfn.DROP(_xlpm.prices, -1),_xlpm.ret, (_xlpm.p_curr / _xlpm.p_prev) - 1,IFERROR(_xlpm.ret, 0)))</f>
        <v/>
      </c>
      <c r="EU2" s="19" t="str" cm="1">
        <f t="array" ref="EU2">IF(EU$1="", "", _xlfn.LET(_xlpm.prices,_xlfn.ANCHORARRAY( Prices!EM2),_xlpm.p_curr, _xlfn.DROP(_xlpm.prices, 1),_xlpm.p_prev, _xlfn.DROP(_xlpm.prices, -1),_xlpm.ret, (_xlpm.p_curr / _xlpm.p_prev) - 1,IFERROR(_xlpm.ret, 0)))</f>
        <v/>
      </c>
      <c r="EV2" s="19" t="str" cm="1">
        <f t="array" ref="EV2">IF(EV$1="", "", _xlfn.LET(_xlpm.prices,_xlfn.ANCHORARRAY( Prices!EN2),_xlpm.p_curr, _xlfn.DROP(_xlpm.prices, 1),_xlpm.p_prev, _xlfn.DROP(_xlpm.prices, -1),_xlpm.ret, (_xlpm.p_curr / _xlpm.p_prev) - 1,IFERROR(_xlpm.ret, 0)))</f>
        <v/>
      </c>
      <c r="EW2" s="19" t="str" cm="1">
        <f t="array" ref="EW2">IF(EW$1="", "", _xlfn.LET(_xlpm.prices,_xlfn.ANCHORARRAY( Prices!EO2),_xlpm.p_curr, _xlfn.DROP(_xlpm.prices, 1),_xlpm.p_prev, _xlfn.DROP(_xlpm.prices, -1),_xlpm.ret, (_xlpm.p_curr / _xlpm.p_prev) - 1,IFERROR(_xlpm.ret, 0)))</f>
        <v/>
      </c>
      <c r="EX2" s="19" t="str" cm="1">
        <f t="array" ref="EX2">IF(EX$1="", "", _xlfn.LET(_xlpm.prices,_xlfn.ANCHORARRAY( Prices!EP2),_xlpm.p_curr, _xlfn.DROP(_xlpm.prices, 1),_xlpm.p_prev, _xlfn.DROP(_xlpm.prices, -1),_xlpm.ret, (_xlpm.p_curr / _xlpm.p_prev) - 1,IFERROR(_xlpm.ret, 0)))</f>
        <v/>
      </c>
      <c r="EY2" s="19" t="str" cm="1">
        <f t="array" ref="EY2">IF(EY$1="", "", _xlfn.LET(_xlpm.prices,_xlfn.ANCHORARRAY( Prices!EQ2),_xlpm.p_curr, _xlfn.DROP(_xlpm.prices, 1),_xlpm.p_prev, _xlfn.DROP(_xlpm.prices, -1),_xlpm.ret, (_xlpm.p_curr / _xlpm.p_prev) - 1,IFERROR(_xlpm.ret, 0)))</f>
        <v/>
      </c>
      <c r="EZ2" s="19" t="str" cm="1">
        <f t="array" ref="EZ2">IF(EZ$1="", "", _xlfn.LET(_xlpm.prices,_xlfn.ANCHORARRAY( Prices!ER2),_xlpm.p_curr, _xlfn.DROP(_xlpm.prices, 1),_xlpm.p_prev, _xlfn.DROP(_xlpm.prices, -1),_xlpm.ret, (_xlpm.p_curr / _xlpm.p_prev) - 1,IFERROR(_xlpm.ret, 0)))</f>
        <v/>
      </c>
      <c r="FA2" s="19" t="str" cm="1">
        <f t="array" ref="FA2">IF(FA$1="", "", _xlfn.LET(_xlpm.prices,_xlfn.ANCHORARRAY( Prices!ES2),_xlpm.p_curr, _xlfn.DROP(_xlpm.prices, 1),_xlpm.p_prev, _xlfn.DROP(_xlpm.prices, -1),_xlpm.ret, (_xlpm.p_curr / _xlpm.p_prev) - 1,IFERROR(_xlpm.ret, 0)))</f>
        <v/>
      </c>
      <c r="FB2" s="19" t="str" cm="1">
        <f t="array" ref="FB2">IF(FB$1="", "", _xlfn.LET(_xlpm.prices,_xlfn.ANCHORARRAY( Prices!ET2),_xlpm.p_curr, _xlfn.DROP(_xlpm.prices, 1),_xlpm.p_prev, _xlfn.DROP(_xlpm.prices, -1),_xlpm.ret, (_xlpm.p_curr / _xlpm.p_prev) - 1,IFERROR(_xlpm.ret, 0)))</f>
        <v/>
      </c>
      <c r="FC2" s="19" t="str" cm="1">
        <f t="array" ref="FC2">IF(FC$1="", "", _xlfn.LET(_xlpm.prices,_xlfn.ANCHORARRAY( Prices!EU2),_xlpm.p_curr, _xlfn.DROP(_xlpm.prices, 1),_xlpm.p_prev, _xlfn.DROP(_xlpm.prices, -1),_xlpm.ret, (_xlpm.p_curr / _xlpm.p_prev) - 1,IFERROR(_xlpm.ret, 0)))</f>
        <v/>
      </c>
      <c r="FD2" s="19" t="str" cm="1">
        <f t="array" ref="FD2">IF(FD$1="", "", _xlfn.LET(_xlpm.prices,_xlfn.ANCHORARRAY( Prices!EV2),_xlpm.p_curr, _xlfn.DROP(_xlpm.prices, 1),_xlpm.p_prev, _xlfn.DROP(_xlpm.prices, -1),_xlpm.ret, (_xlpm.p_curr / _xlpm.p_prev) - 1,IFERROR(_xlpm.ret, 0)))</f>
        <v/>
      </c>
      <c r="FE2" s="19" t="str" cm="1">
        <f t="array" ref="FE2">IF(FE$1="", "", _xlfn.LET(_xlpm.prices,_xlfn.ANCHORARRAY( Prices!EW2),_xlpm.p_curr, _xlfn.DROP(_xlpm.prices, 1),_xlpm.p_prev, _xlfn.DROP(_xlpm.prices, -1),_xlpm.ret, (_xlpm.p_curr / _xlpm.p_prev) - 1,IFERROR(_xlpm.ret, 0)))</f>
        <v/>
      </c>
      <c r="FF2" s="19" t="str" cm="1">
        <f t="array" ref="FF2">IF(FF$1="", "", _xlfn.LET(_xlpm.prices,_xlfn.ANCHORARRAY( Prices!EX2),_xlpm.p_curr, _xlfn.DROP(_xlpm.prices, 1),_xlpm.p_prev, _xlfn.DROP(_xlpm.prices, -1),_xlpm.ret, (_xlpm.p_curr / _xlpm.p_prev) - 1,IFERROR(_xlpm.ret, 0)))</f>
        <v/>
      </c>
      <c r="FG2" s="19" t="str" cm="1">
        <f t="array" ref="FG2">IF(FG$1="", "", _xlfn.LET(_xlpm.prices,_xlfn.ANCHORARRAY( Prices!EY2),_xlpm.p_curr, _xlfn.DROP(_xlpm.prices, 1),_xlpm.p_prev, _xlfn.DROP(_xlpm.prices, -1),_xlpm.ret, (_xlpm.p_curr / _xlpm.p_prev) - 1,IFERROR(_xlpm.ret, 0)))</f>
        <v/>
      </c>
      <c r="FH2" s="19" t="str" cm="1">
        <f t="array" ref="FH2">IF(FH$1="", "", _xlfn.LET(_xlpm.prices,_xlfn.ANCHORARRAY( Prices!EZ2),_xlpm.p_curr, _xlfn.DROP(_xlpm.prices, 1),_xlpm.p_prev, _xlfn.DROP(_xlpm.prices, -1),_xlpm.ret, (_xlpm.p_curr / _xlpm.p_prev) - 1,IFERROR(_xlpm.ret, 0)))</f>
        <v/>
      </c>
      <c r="FI2" s="19" t="str" cm="1">
        <f t="array" ref="FI2">IF(FI$1="", "", _xlfn.LET(_xlpm.prices,_xlfn.ANCHORARRAY( Prices!FA2),_xlpm.p_curr, _xlfn.DROP(_xlpm.prices, 1),_xlpm.p_prev, _xlfn.DROP(_xlpm.prices, -1),_xlpm.ret, (_xlpm.p_curr / _xlpm.p_prev) - 1,IFERROR(_xlpm.ret, 0)))</f>
        <v/>
      </c>
      <c r="FJ2" s="19" t="str" cm="1">
        <f t="array" ref="FJ2">IF(FJ$1="", "", _xlfn.LET(_xlpm.prices,_xlfn.ANCHORARRAY( Prices!FB2),_xlpm.p_curr, _xlfn.DROP(_xlpm.prices, 1),_xlpm.p_prev, _xlfn.DROP(_xlpm.prices, -1),_xlpm.ret, (_xlpm.p_curr / _xlpm.p_prev) - 1,IFERROR(_xlpm.ret, 0)))</f>
        <v/>
      </c>
      <c r="FK2" s="19" t="str" cm="1">
        <f t="array" ref="FK2">IF(FK$1="", "", _xlfn.LET(_xlpm.prices,_xlfn.ANCHORARRAY( Prices!FC2),_xlpm.p_curr, _xlfn.DROP(_xlpm.prices, 1),_xlpm.p_prev, _xlfn.DROP(_xlpm.prices, -1),_xlpm.ret, (_xlpm.p_curr / _xlpm.p_prev) - 1,IFERROR(_xlpm.ret, 0)))</f>
        <v/>
      </c>
      <c r="FL2" s="19" t="str" cm="1">
        <f t="array" ref="FL2">IF(FL$1="", "", _xlfn.LET(_xlpm.prices,_xlfn.ANCHORARRAY( Prices!FD2),_xlpm.p_curr, _xlfn.DROP(_xlpm.prices, 1),_xlpm.p_prev, _xlfn.DROP(_xlpm.prices, -1),_xlpm.ret, (_xlpm.p_curr / _xlpm.p_prev) - 1,IFERROR(_xlpm.ret, 0)))</f>
        <v/>
      </c>
      <c r="FM2" s="19" t="str" cm="1">
        <f t="array" ref="FM2">IF(FM$1="", "", _xlfn.LET(_xlpm.prices,_xlfn.ANCHORARRAY( Prices!FE2),_xlpm.p_curr, _xlfn.DROP(_xlpm.prices, 1),_xlpm.p_prev, _xlfn.DROP(_xlpm.prices, -1),_xlpm.ret, (_xlpm.p_curr / _xlpm.p_prev) - 1,IFERROR(_xlpm.ret, 0)))</f>
        <v/>
      </c>
      <c r="FN2" s="19" t="str" cm="1">
        <f t="array" ref="FN2">IF(FN$1="", "", _xlfn.LET(_xlpm.prices,_xlfn.ANCHORARRAY( Prices!FF2),_xlpm.p_curr, _xlfn.DROP(_xlpm.prices, 1),_xlpm.p_prev, _xlfn.DROP(_xlpm.prices, -1),_xlpm.ret, (_xlpm.p_curr / _xlpm.p_prev) - 1,IFERROR(_xlpm.ret, 0)))</f>
        <v/>
      </c>
      <c r="FO2" s="19" t="str" cm="1">
        <f t="array" ref="FO2">IF(FO$1="", "", _xlfn.LET(_xlpm.prices,_xlfn.ANCHORARRAY( Prices!FG2),_xlpm.p_curr, _xlfn.DROP(_xlpm.prices, 1),_xlpm.p_prev, _xlfn.DROP(_xlpm.prices, -1),_xlpm.ret, (_xlpm.p_curr / _xlpm.p_prev) - 1,IFERROR(_xlpm.ret, 0)))</f>
        <v/>
      </c>
      <c r="FP2" s="19" t="str" cm="1">
        <f t="array" ref="FP2">IF(FP$1="", "", _xlfn.LET(_xlpm.prices,_xlfn.ANCHORARRAY( Prices!FH2),_xlpm.p_curr, _xlfn.DROP(_xlpm.prices, 1),_xlpm.p_prev, _xlfn.DROP(_xlpm.prices, -1),_xlpm.ret, (_xlpm.p_curr / _xlpm.p_prev) - 1,IFERROR(_xlpm.ret, 0)))</f>
        <v/>
      </c>
      <c r="FQ2" s="19" t="str" cm="1">
        <f t="array" ref="FQ2">IF(FQ$1="", "", _xlfn.LET(_xlpm.prices,_xlfn.ANCHORARRAY( Prices!FI2),_xlpm.p_curr, _xlfn.DROP(_xlpm.prices, 1),_xlpm.p_prev, _xlfn.DROP(_xlpm.prices, -1),_xlpm.ret, (_xlpm.p_curr / _xlpm.p_prev) - 1,IFERROR(_xlpm.ret, 0)))</f>
        <v/>
      </c>
      <c r="FR2" s="19" t="str" cm="1">
        <f t="array" ref="FR2">IF(FR$1="", "", _xlfn.LET(_xlpm.prices,_xlfn.ANCHORARRAY( Prices!FJ2),_xlpm.p_curr, _xlfn.DROP(_xlpm.prices, 1),_xlpm.p_prev, _xlfn.DROP(_xlpm.prices, -1),_xlpm.ret, (_xlpm.p_curr / _xlpm.p_prev) - 1,IFERROR(_xlpm.ret, 0)))</f>
        <v/>
      </c>
      <c r="FS2" s="19" t="str" cm="1">
        <f t="array" ref="FS2">IF(FS$1="", "", _xlfn.LET(_xlpm.prices,_xlfn.ANCHORARRAY( Prices!FK2),_xlpm.p_curr, _xlfn.DROP(_xlpm.prices, 1),_xlpm.p_prev, _xlfn.DROP(_xlpm.prices, -1),_xlpm.ret, (_xlpm.p_curr / _xlpm.p_prev) - 1,IFERROR(_xlpm.ret, 0)))</f>
        <v/>
      </c>
      <c r="FT2" s="19" t="str" cm="1">
        <f t="array" ref="FT2">IF(FT$1="", "", _xlfn.LET(_xlpm.prices,_xlfn.ANCHORARRAY( Prices!FL2),_xlpm.p_curr, _xlfn.DROP(_xlpm.prices, 1),_xlpm.p_prev, _xlfn.DROP(_xlpm.prices, -1),_xlpm.ret, (_xlpm.p_curr / _xlpm.p_prev) - 1,IFERROR(_xlpm.ret, 0)))</f>
        <v/>
      </c>
      <c r="FU2" s="19" t="str" cm="1">
        <f t="array" ref="FU2">IF(FU$1="", "", _xlfn.LET(_xlpm.prices,_xlfn.ANCHORARRAY( Prices!FM2),_xlpm.p_curr, _xlfn.DROP(_xlpm.prices, 1),_xlpm.p_prev, _xlfn.DROP(_xlpm.prices, -1),_xlpm.ret, (_xlpm.p_curr / _xlpm.p_prev) - 1,IFERROR(_xlpm.ret, 0)))</f>
        <v/>
      </c>
      <c r="FV2" s="19" t="str" cm="1">
        <f t="array" ref="FV2">IF(FV$1="", "", _xlfn.LET(_xlpm.prices,_xlfn.ANCHORARRAY( Prices!FN2),_xlpm.p_curr, _xlfn.DROP(_xlpm.prices, 1),_xlpm.p_prev, _xlfn.DROP(_xlpm.prices, -1),_xlpm.ret, (_xlpm.p_curr / _xlpm.p_prev) - 1,IFERROR(_xlpm.ret, 0)))</f>
        <v/>
      </c>
      <c r="FW2" s="19" t="str" cm="1">
        <f t="array" ref="FW2">IF(FW$1="", "", _xlfn.LET(_xlpm.prices,_xlfn.ANCHORARRAY( Prices!FO2),_xlpm.p_curr, _xlfn.DROP(_xlpm.prices, 1),_xlpm.p_prev, _xlfn.DROP(_xlpm.prices, -1),_xlpm.ret, (_xlpm.p_curr / _xlpm.p_prev) - 1,IFERROR(_xlpm.ret, 0)))</f>
        <v/>
      </c>
      <c r="FX2" s="19" t="str" cm="1">
        <f t="array" ref="FX2">IF(FX$1="", "", _xlfn.LET(_xlpm.prices,_xlfn.ANCHORARRAY( Prices!FP2),_xlpm.p_curr, _xlfn.DROP(_xlpm.prices, 1),_xlpm.p_prev, _xlfn.DROP(_xlpm.prices, -1),_xlpm.ret, (_xlpm.p_curr / _xlpm.p_prev) - 1,IFERROR(_xlpm.ret, 0)))</f>
        <v/>
      </c>
      <c r="FY2" s="19" t="str" cm="1">
        <f t="array" ref="FY2">IF(FY$1="", "", _xlfn.LET(_xlpm.prices,_xlfn.ANCHORARRAY( Prices!FQ2),_xlpm.p_curr, _xlfn.DROP(_xlpm.prices, 1),_xlpm.p_prev, _xlfn.DROP(_xlpm.prices, -1),_xlpm.ret, (_xlpm.p_curr / _xlpm.p_prev) - 1,IFERROR(_xlpm.ret, 0)))</f>
        <v/>
      </c>
      <c r="FZ2" s="19" t="str" cm="1">
        <f t="array" ref="FZ2">IF(FZ$1="", "", _xlfn.LET(_xlpm.prices,_xlfn.ANCHORARRAY( Prices!FR2),_xlpm.p_curr, _xlfn.DROP(_xlpm.prices, 1),_xlpm.p_prev, _xlfn.DROP(_xlpm.prices, -1),_xlpm.ret, (_xlpm.p_curr / _xlpm.p_prev) - 1,IFERROR(_xlpm.ret, 0)))</f>
        <v/>
      </c>
      <c r="GA2" s="19" t="str" cm="1">
        <f t="array" ref="GA2">IF(GA$1="", "", _xlfn.LET(_xlpm.prices,_xlfn.ANCHORARRAY( Prices!FS2),_xlpm.p_curr, _xlfn.DROP(_xlpm.prices, 1),_xlpm.p_prev, _xlfn.DROP(_xlpm.prices, -1),_xlpm.ret, (_xlpm.p_curr / _xlpm.p_prev) - 1,IFERROR(_xlpm.ret, 0)))</f>
        <v/>
      </c>
      <c r="GB2" s="19" t="str" cm="1">
        <f t="array" ref="GB2">IF(GB$1="", "", _xlfn.LET(_xlpm.prices,_xlfn.ANCHORARRAY( Prices!FT2),_xlpm.p_curr, _xlfn.DROP(_xlpm.prices, 1),_xlpm.p_prev, _xlfn.DROP(_xlpm.prices, -1),_xlpm.ret, (_xlpm.p_curr / _xlpm.p_prev) - 1,IFERROR(_xlpm.ret, 0)))</f>
        <v/>
      </c>
      <c r="GC2" s="19" t="str" cm="1">
        <f t="array" ref="GC2">IF(GC$1="", "", _xlfn.LET(_xlpm.prices,_xlfn.ANCHORARRAY( Prices!FU2),_xlpm.p_curr, _xlfn.DROP(_xlpm.prices, 1),_xlpm.p_prev, _xlfn.DROP(_xlpm.prices, -1),_xlpm.ret, (_xlpm.p_curr / _xlpm.p_prev) - 1,IFERROR(_xlpm.ret, 0)))</f>
        <v/>
      </c>
      <c r="GD2" s="19" t="str" cm="1">
        <f t="array" ref="GD2">IF(GD$1="", "", _xlfn.LET(_xlpm.prices,_xlfn.ANCHORARRAY( Prices!FV2),_xlpm.p_curr, _xlfn.DROP(_xlpm.prices, 1),_xlpm.p_prev, _xlfn.DROP(_xlpm.prices, -1),_xlpm.ret, (_xlpm.p_curr / _xlpm.p_prev) - 1,IFERROR(_xlpm.ret, 0)))</f>
        <v/>
      </c>
      <c r="GE2" s="19" t="str" cm="1">
        <f t="array" ref="GE2">IF(GE$1="", "", _xlfn.LET(_xlpm.prices,_xlfn.ANCHORARRAY( Prices!FW2),_xlpm.p_curr, _xlfn.DROP(_xlpm.prices, 1),_xlpm.p_prev, _xlfn.DROP(_xlpm.prices, -1),_xlpm.ret, (_xlpm.p_curr / _xlpm.p_prev) - 1,IFERROR(_xlpm.ret, 0)))</f>
        <v/>
      </c>
      <c r="GF2" s="19" t="str" cm="1">
        <f t="array" ref="GF2">IF(GF$1="", "", _xlfn.LET(_xlpm.prices,_xlfn.ANCHORARRAY( Prices!FX2),_xlpm.p_curr, _xlfn.DROP(_xlpm.prices, 1),_xlpm.p_prev, _xlfn.DROP(_xlpm.prices, -1),_xlpm.ret, (_xlpm.p_curr / _xlpm.p_prev) - 1,IFERROR(_xlpm.ret, 0)))</f>
        <v/>
      </c>
      <c r="GG2" s="19" t="str" cm="1">
        <f t="array" ref="GG2">IF(GG$1="", "", _xlfn.LET(_xlpm.prices,_xlfn.ANCHORARRAY( Prices!FY2),_xlpm.p_curr, _xlfn.DROP(_xlpm.prices, 1),_xlpm.p_prev, _xlfn.DROP(_xlpm.prices, -1),_xlpm.ret, (_xlpm.p_curr / _xlpm.p_prev) - 1,IFERROR(_xlpm.ret, 0)))</f>
        <v/>
      </c>
      <c r="GH2" s="19" t="str" cm="1">
        <f t="array" ref="GH2">IF(GH$1="", "", _xlfn.LET(_xlpm.prices,_xlfn.ANCHORARRAY( Prices!FZ2),_xlpm.p_curr, _xlfn.DROP(_xlpm.prices, 1),_xlpm.p_prev, _xlfn.DROP(_xlpm.prices, -1),_xlpm.ret, (_xlpm.p_curr / _xlpm.p_prev) - 1,IFERROR(_xlpm.ret, 0)))</f>
        <v/>
      </c>
      <c r="GI2" s="19" t="str" cm="1">
        <f t="array" ref="GI2">IF(GI$1="", "", _xlfn.LET(_xlpm.prices,_xlfn.ANCHORARRAY( Prices!GA2),_xlpm.p_curr, _xlfn.DROP(_xlpm.prices, 1),_xlpm.p_prev, _xlfn.DROP(_xlpm.prices, -1),_xlpm.ret, (_xlpm.p_curr / _xlpm.p_prev) - 1,IFERROR(_xlpm.ret, 0)))</f>
        <v/>
      </c>
      <c r="GJ2" s="19" t="str" cm="1">
        <f t="array" ref="GJ2">IF(GJ$1="", "", _xlfn.LET(_xlpm.prices,_xlfn.ANCHORARRAY( Prices!GB2),_xlpm.p_curr, _xlfn.DROP(_xlpm.prices, 1),_xlpm.p_prev, _xlfn.DROP(_xlpm.prices, -1),_xlpm.ret, (_xlpm.p_curr / _xlpm.p_prev) - 1,IFERROR(_xlpm.ret, 0)))</f>
        <v/>
      </c>
      <c r="GK2" s="19" t="str" cm="1">
        <f t="array" ref="GK2">IF(GK$1="", "", _xlfn.LET(_xlpm.prices,_xlfn.ANCHORARRAY( Prices!GC2),_xlpm.p_curr, _xlfn.DROP(_xlpm.prices, 1),_xlpm.p_prev, _xlfn.DROP(_xlpm.prices, -1),_xlpm.ret, (_xlpm.p_curr / _xlpm.p_prev) - 1,IFERROR(_xlpm.ret, 0)))</f>
        <v/>
      </c>
      <c r="GL2" s="19" t="str" cm="1">
        <f t="array" ref="GL2">IF(GL$1="", "", _xlfn.LET(_xlpm.prices,_xlfn.ANCHORARRAY( Prices!GD2),_xlpm.p_curr, _xlfn.DROP(_xlpm.prices, 1),_xlpm.p_prev, _xlfn.DROP(_xlpm.prices, -1),_xlpm.ret, (_xlpm.p_curr / _xlpm.p_prev) - 1,IFERROR(_xlpm.ret, 0)))</f>
        <v/>
      </c>
      <c r="GM2" s="19" t="str" cm="1">
        <f t="array" ref="GM2">IF(GM$1="", "", _xlfn.LET(_xlpm.prices,_xlfn.ANCHORARRAY( Prices!GE2),_xlpm.p_curr, _xlfn.DROP(_xlpm.prices, 1),_xlpm.p_prev, _xlfn.DROP(_xlpm.prices, -1),_xlpm.ret, (_xlpm.p_curr / _xlpm.p_prev) - 1,IFERROR(_xlpm.ret, 0)))</f>
        <v/>
      </c>
      <c r="GN2" s="19" t="str" cm="1">
        <f t="array" ref="GN2">IF(GN$1="", "", _xlfn.LET(_xlpm.prices,_xlfn.ANCHORARRAY( Prices!GF2),_xlpm.p_curr, _xlfn.DROP(_xlpm.prices, 1),_xlpm.p_prev, _xlfn.DROP(_xlpm.prices, -1),_xlpm.ret, (_xlpm.p_curr / _xlpm.p_prev) - 1,IFERROR(_xlpm.ret, 0)))</f>
        <v/>
      </c>
      <c r="GO2" s="19" t="str" cm="1">
        <f t="array" ref="GO2">IF(GO$1="", "", _xlfn.LET(_xlpm.prices,_xlfn.ANCHORARRAY( Prices!GG2),_xlpm.p_curr, _xlfn.DROP(_xlpm.prices, 1),_xlpm.p_prev, _xlfn.DROP(_xlpm.prices, -1),_xlpm.ret, (_xlpm.p_curr / _xlpm.p_prev) - 1,IFERROR(_xlpm.ret, 0)))</f>
        <v/>
      </c>
      <c r="GP2" s="19" t="str" cm="1">
        <f t="array" ref="GP2">IF(GP$1="", "", _xlfn.LET(_xlpm.prices,_xlfn.ANCHORARRAY( Prices!GH2),_xlpm.p_curr, _xlfn.DROP(_xlpm.prices, 1),_xlpm.p_prev, _xlfn.DROP(_xlpm.prices, -1),_xlpm.ret, (_xlpm.p_curr / _xlpm.p_prev) - 1,IFERROR(_xlpm.ret, 0)))</f>
        <v/>
      </c>
      <c r="GQ2" s="19" t="str" cm="1">
        <f t="array" ref="GQ2">IF(GQ$1="", "", _xlfn.LET(_xlpm.prices,_xlfn.ANCHORARRAY( Prices!GI2),_xlpm.p_curr, _xlfn.DROP(_xlpm.prices, 1),_xlpm.p_prev, _xlfn.DROP(_xlpm.prices, -1),_xlpm.ret, (_xlpm.p_curr / _xlpm.p_prev) - 1,IFERROR(_xlpm.ret, 0)))</f>
        <v/>
      </c>
      <c r="GR2" s="19" t="str" cm="1">
        <f t="array" ref="GR2">IF(GR$1="", "", _xlfn.LET(_xlpm.prices,_xlfn.ANCHORARRAY( Prices!GJ2),_xlpm.p_curr, _xlfn.DROP(_xlpm.prices, 1),_xlpm.p_prev, _xlfn.DROP(_xlpm.prices, -1),_xlpm.ret, (_xlpm.p_curr / _xlpm.p_prev) - 1,IFERROR(_xlpm.ret, 0)))</f>
        <v/>
      </c>
      <c r="GS2" s="19" t="str" cm="1">
        <f t="array" ref="GS2">IF(GS$1="", "", _xlfn.LET(_xlpm.prices,_xlfn.ANCHORARRAY( Prices!GK2),_xlpm.p_curr, _xlfn.DROP(_xlpm.prices, 1),_xlpm.p_prev, _xlfn.DROP(_xlpm.prices, -1),_xlpm.ret, (_xlpm.p_curr / _xlpm.p_prev) - 1,IFERROR(_xlpm.ret, 0)))</f>
        <v/>
      </c>
      <c r="GT2" s="19" t="str" cm="1">
        <f t="array" ref="GT2">IF(GT$1="", "", _xlfn.LET(_xlpm.prices,_xlfn.ANCHORARRAY( Prices!GL2),_xlpm.p_curr, _xlfn.DROP(_xlpm.prices, 1),_xlpm.p_prev, _xlfn.DROP(_xlpm.prices, -1),_xlpm.ret, (_xlpm.p_curr / _xlpm.p_prev) - 1,IFERROR(_xlpm.ret, 0)))</f>
        <v/>
      </c>
    </row>
    <row r="3" spans="1:202" x14ac:dyDescent="0.2">
      <c r="A3" vm="52">
        <f ca="1"/>
        <v>45960</v>
      </c>
      <c r="B3" s="13">
        <f ca="1"/>
        <v>-1.043077484980821E-2</v>
      </c>
      <c r="C3" s="66">
        <f ca="1">C2 * (1 + B3)</f>
        <v>0.98956922515019174</v>
      </c>
      <c r="D3" s="66">
        <f ca="1">MAX(D2,C3)</f>
        <v>1</v>
      </c>
      <c r="E3" s="13">
        <f t="shared" ref="E3:E66" ca="1" si="0">(C3-D3)/D3</f>
        <v>-1.0430774849808255E-2</v>
      </c>
      <c r="F3" s="13">
        <f ca="1"/>
        <v>-1.0998123336097287E-2</v>
      </c>
      <c r="G3" s="67">
        <f ca="1">G2*(1+F3)</f>
        <v>0.98900187666390271</v>
      </c>
      <c r="H3" s="13">
        <f ca="1"/>
        <v>-1.5288547745253789E-2</v>
      </c>
      <c r="I3" s="67">
        <f ca="1">I2*(1+H3)</f>
        <v>0.98471145225474621</v>
      </c>
      <c r="J3" s="12">
        <f ca="1"/>
        <v>2.4457608024130328E-2</v>
      </c>
      <c r="K3" s="12">
        <f ca="1"/>
        <v>-6.3388837275780818E-2</v>
      </c>
      <c r="L3" s="12">
        <f ca="1"/>
        <v>-2.7650925879460164E-2</v>
      </c>
      <c r="M3" s="12">
        <f ca="1"/>
        <v>-1.702369130372916E-3</v>
      </c>
      <c r="N3" s="12">
        <f ca="1"/>
        <v>9.2172640819314644E-3</v>
      </c>
      <c r="O3" s="12">
        <f ca="1"/>
        <v>-4.5348837209302162E-2</v>
      </c>
      <c r="P3" s="12">
        <f ca="1"/>
        <v>-2.2447784501268275E-3</v>
      </c>
      <c r="Q3" s="12">
        <f ca="1"/>
        <v>-2.915704921059914E-2</v>
      </c>
      <c r="R3" s="12">
        <f ca="1"/>
        <v>6.3032999629217823E-3</v>
      </c>
      <c r="S3" s="12">
        <f ca="1"/>
        <v>-2.4638582309964185E-2</v>
      </c>
      <c r="T3" s="12">
        <f ca="1"/>
        <v>-9.8280098280096873E-3</v>
      </c>
      <c r="U3" s="12">
        <f ca="1"/>
        <v>8.5048552201836269E-3</v>
      </c>
      <c r="V3" s="12">
        <f ca="1"/>
        <v>-3.2305688232739938E-2</v>
      </c>
      <c r="W3" s="12">
        <f ca="1"/>
        <v>6.8119891008167066E-4</v>
      </c>
      <c r="X3" s="12">
        <f ca="1"/>
        <v>-1.0186976144422877E-2</v>
      </c>
      <c r="Y3" s="12">
        <f ca="1"/>
        <v>-1.0853739245532679E-2</v>
      </c>
      <c r="Z3" s="12">
        <f ca="1"/>
        <v>0</v>
      </c>
    </row>
    <row r="4" spans="1:202" x14ac:dyDescent="0.2">
      <c r="A4" vm="69">
        <f ca="1"/>
        <v>45961</v>
      </c>
      <c r="B4" s="13">
        <f ca="1"/>
        <v>7.1046876750830426E-3</v>
      </c>
      <c r="C4" s="66">
        <f t="shared" ref="C4:C67" ca="1" si="1">C3 * (1 + B4)</f>
        <v>0.99659980542775783</v>
      </c>
      <c r="D4" s="66">
        <f t="shared" ref="D4:D67" ca="1" si="2">MAX(D3,C4)</f>
        <v>1</v>
      </c>
      <c r="E4" s="13">
        <f t="shared" ca="1" si="0"/>
        <v>-3.4001945722421656E-3</v>
      </c>
      <c r="F4" s="13">
        <f ca="1"/>
        <v>3.2802318226614613E-3</v>
      </c>
      <c r="G4" s="67">
        <f t="shared" ref="G4:G67" ca="1" si="3">G3*(1+F4)</f>
        <v>0.99224603209240758</v>
      </c>
      <c r="H4" s="13">
        <f ca="1"/>
        <v>4.8238958549637889E-3</v>
      </c>
      <c r="I4" s="67">
        <f t="shared" ref="I4:I67" ca="1" si="4">I3*(1+H4)</f>
        <v>0.98946159774761322</v>
      </c>
      <c r="J4" s="12">
        <f ca="1"/>
        <v>-2.8378857750965825E-4</v>
      </c>
      <c r="K4" s="12">
        <f ca="1"/>
        <v>2.0219746680909534E-2</v>
      </c>
      <c r="L4" s="12">
        <f ca="1"/>
        <v>-4.6449215524358989E-3</v>
      </c>
      <c r="M4" s="12">
        <f ca="1"/>
        <v>-4.2631803325282602E-3</v>
      </c>
      <c r="N4" s="12">
        <f ca="1"/>
        <v>-1.1597564511451885E-3</v>
      </c>
      <c r="O4" s="12">
        <f ca="1"/>
        <v>4.7503045066991323E-2</v>
      </c>
      <c r="P4" s="12">
        <f ca="1"/>
        <v>-1.0270957644527012E-2</v>
      </c>
      <c r="Q4" s="12">
        <f ca="1"/>
        <v>-1.5120967741935609E-2</v>
      </c>
      <c r="R4" s="12">
        <f ca="1"/>
        <v>-3.7951363301399477E-3</v>
      </c>
      <c r="S4" s="12">
        <f ca="1"/>
        <v>-1.8168778388716333E-2</v>
      </c>
      <c r="T4" s="12">
        <f ca="1"/>
        <v>2.7003357174135045E-2</v>
      </c>
      <c r="U4" s="12">
        <f ca="1"/>
        <v>-9.4872742289551226E-3</v>
      </c>
      <c r="V4" s="12">
        <f ca="1"/>
        <v>9.5844925065063258E-2</v>
      </c>
      <c r="W4" s="12">
        <f ca="1"/>
        <v>8.1688223281144445E-3</v>
      </c>
      <c r="X4" s="12">
        <f ca="1"/>
        <v>2.7357998957790342E-2</v>
      </c>
      <c r="Y4" s="12">
        <f ca="1"/>
        <v>2.5424862839555917E-3</v>
      </c>
      <c r="Z4" s="12">
        <f ca="1"/>
        <v>0</v>
      </c>
    </row>
    <row r="5" spans="1:202" x14ac:dyDescent="0.2">
      <c r="A5" vm="85">
        <f ca="1"/>
        <v>45964</v>
      </c>
      <c r="B5" s="13">
        <f ca="1"/>
        <v>2.5970155332497337E-3</v>
      </c>
      <c r="C5" s="66">
        <f t="shared" ca="1" si="1"/>
        <v>0.99918799060288743</v>
      </c>
      <c r="D5" s="66">
        <f t="shared" ca="1" si="2"/>
        <v>1</v>
      </c>
      <c r="E5" s="13">
        <f ca="1">(C5-D5)/D5</f>
        <v>-8.1200939711256748E-4</v>
      </c>
      <c r="F5" s="13">
        <f ca="1"/>
        <v>1.8766677418409206E-3</v>
      </c>
      <c r="G5" s="67">
        <f t="shared" ca="1" si="3"/>
        <v>0.99410814821280502</v>
      </c>
      <c r="H5" s="13">
        <f ca="1"/>
        <v>4.7848411146613756E-3</v>
      </c>
      <c r="I5" s="67">
        <f t="shared" ca="1" si="4"/>
        <v>0.99419601428189452</v>
      </c>
      <c r="J5" s="12">
        <f ca="1"/>
        <v>8.1612376694344402E-3</v>
      </c>
      <c r="K5" s="12">
        <f ca="1"/>
        <v>-5.5268865455089466E-2</v>
      </c>
      <c r="L5" s="12">
        <f ca="1"/>
        <v>-7.5702582183968525E-3</v>
      </c>
      <c r="M5" s="12">
        <f ca="1"/>
        <v>5.5658627087198376E-3</v>
      </c>
      <c r="N5" s="12">
        <f ca="1"/>
        <v>-1.3497822931785253E-2</v>
      </c>
      <c r="O5" s="12">
        <f ca="1"/>
        <v>3.6046511627906952E-2</v>
      </c>
      <c r="P5" s="12">
        <f ca="1"/>
        <v>4.0521842261316277E-3</v>
      </c>
      <c r="Q5" s="12">
        <f ca="1"/>
        <v>-1.5063440258009653E-3</v>
      </c>
      <c r="R5" s="12">
        <f ca="1"/>
        <v>-4.8821984687650311E-3</v>
      </c>
      <c r="S5" s="12">
        <f ca="1"/>
        <v>-1.9154289424559656E-2</v>
      </c>
      <c r="T5" s="12">
        <f ca="1"/>
        <v>3.8658328595793101E-2</v>
      </c>
      <c r="U5" s="12">
        <f ca="1"/>
        <v>1.8201766416150011E-2</v>
      </c>
      <c r="V5" s="12">
        <f ca="1"/>
        <v>4.0045860289902535E-2</v>
      </c>
      <c r="W5" s="12">
        <f ca="1"/>
        <v>-3.2635606572136711E-3</v>
      </c>
      <c r="X5" s="12">
        <f ca="1"/>
        <v>-2.333248795333509E-2</v>
      </c>
      <c r="Y5" s="12">
        <f ca="1"/>
        <v>-7.0742124933261818E-3</v>
      </c>
      <c r="Z5" s="12">
        <f ca="1"/>
        <v>0</v>
      </c>
    </row>
    <row r="6" spans="1:202" x14ac:dyDescent="0.2">
      <c r="A6" vm="102">
        <f ca="1"/>
        <v>45965</v>
      </c>
      <c r="B6" s="13">
        <f ca="1"/>
        <v>-1.3310715353822463E-2</v>
      </c>
      <c r="C6" s="66">
        <f t="shared" ca="1" si="1"/>
        <v>0.98588808367501457</v>
      </c>
      <c r="D6" s="66">
        <f t="shared" ca="1" si="2"/>
        <v>1</v>
      </c>
      <c r="E6" s="13">
        <f t="shared" ca="1" si="0"/>
        <v>-1.411191632498543E-2</v>
      </c>
      <c r="F6" s="13">
        <f ca="1"/>
        <v>-1.1853542892264479E-2</v>
      </c>
      <c r="G6" s="67">
        <f t="shared" ca="1" si="3"/>
        <v>0.98232444463841495</v>
      </c>
      <c r="H6" s="13">
        <f ca="1"/>
        <v>-2.029806353626129E-2</v>
      </c>
      <c r="I6" s="67">
        <f t="shared" ca="1" si="4"/>
        <v>0.97401576041650284</v>
      </c>
      <c r="J6" s="12">
        <f ca="1"/>
        <v>-2.1329015908770899E-2</v>
      </c>
      <c r="K6" s="12">
        <f ca="1"/>
        <v>-8.3676377454084849E-2</v>
      </c>
      <c r="L6" s="12">
        <f ca="1"/>
        <v>-5.5276907001045039E-2</v>
      </c>
      <c r="M6" s="12">
        <f ca="1"/>
        <v>-8.65739426625034E-3</v>
      </c>
      <c r="N6" s="12">
        <f ca="1"/>
        <v>1.0151537442989467E-2</v>
      </c>
      <c r="O6" s="12">
        <f ca="1"/>
        <v>-4.3771043771043794E-2</v>
      </c>
      <c r="P6" s="12">
        <f ca="1"/>
        <v>6.6935722019882959E-3</v>
      </c>
      <c r="Q6" s="12">
        <f ca="1"/>
        <v>-5.222134112140342E-3</v>
      </c>
      <c r="R6" s="12">
        <f ca="1"/>
        <v>3.6796134547483206E-3</v>
      </c>
      <c r="S6" s="12">
        <f ca="1"/>
        <v>-2.9264928975313742E-2</v>
      </c>
      <c r="T6" s="12">
        <f ca="1"/>
        <v>-3.2703886152162021E-2</v>
      </c>
      <c r="U6" s="12">
        <f ca="1"/>
        <v>1.3684754967458357E-2</v>
      </c>
      <c r="V6" s="12">
        <f ca="1"/>
        <v>-1.8425196850393677E-2</v>
      </c>
      <c r="W6" s="12">
        <f ca="1"/>
        <v>-7.4517330924691594E-3</v>
      </c>
      <c r="X6" s="12">
        <f ca="1"/>
        <v>-4.2196831991690997E-3</v>
      </c>
      <c r="Y6" s="12">
        <f ca="1"/>
        <v>-8.7377335663396671E-3</v>
      </c>
      <c r="Z6" s="12">
        <f ca="1"/>
        <v>0</v>
      </c>
    </row>
    <row r="7" spans="1:202" x14ac:dyDescent="0.2">
      <c r="A7" vm="119">
        <f ca="1"/>
        <v>45966</v>
      </c>
      <c r="B7" s="13">
        <f ca="1"/>
        <v>5.49080911216588E-3</v>
      </c>
      <c r="C7" s="66">
        <f t="shared" ca="1" si="1"/>
        <v>0.99130140694843316</v>
      </c>
      <c r="D7" s="66">
        <f t="shared" ca="1" si="2"/>
        <v>1</v>
      </c>
      <c r="E7" s="13">
        <f t="shared" ca="1" si="0"/>
        <v>-8.6985930515668386E-3</v>
      </c>
      <c r="F7" s="13">
        <f ca="1"/>
        <v>3.4654345121734043E-3</v>
      </c>
      <c r="G7" s="67">
        <f t="shared" ca="1" si="3"/>
        <v>0.98572862567101649</v>
      </c>
      <c r="H7" s="13">
        <f ca="1"/>
        <v>6.5078724263221144E-3</v>
      </c>
      <c r="I7" s="67">
        <f t="shared" ca="1" si="4"/>
        <v>0.98035453072652057</v>
      </c>
      <c r="J7" s="12">
        <f ca="1"/>
        <v>2.4059555491620532E-2</v>
      </c>
      <c r="K7" s="12">
        <f ca="1"/>
        <v>-1.1490280777537776E-2</v>
      </c>
      <c r="L7" s="12">
        <f ca="1"/>
        <v>5.4695277071120429E-2</v>
      </c>
      <c r="M7" s="12">
        <f ca="1"/>
        <v>1.5318539727988689E-2</v>
      </c>
      <c r="N7" s="12">
        <f ca="1"/>
        <v>-2.1846781240896229E-3</v>
      </c>
      <c r="O7" s="12">
        <f ca="1"/>
        <v>1.1737089201877549E-3</v>
      </c>
      <c r="P7" s="12">
        <f ca="1"/>
        <v>-7.8224308203773685E-3</v>
      </c>
      <c r="Q7" s="12">
        <f ca="1"/>
        <v>-1.3940466237629567E-2</v>
      </c>
      <c r="R7" s="12">
        <f ca="1"/>
        <v>3.7031550881327924E-4</v>
      </c>
      <c r="S7" s="12">
        <f ca="1"/>
        <v>2.0003409672103345E-2</v>
      </c>
      <c r="T7" s="12">
        <f ca="1"/>
        <v>1.3156033385202992E-2</v>
      </c>
      <c r="U7" s="12">
        <f ca="1"/>
        <v>-6.0696898186534121E-3</v>
      </c>
      <c r="V7" s="12">
        <f ca="1"/>
        <v>3.5296005133964581E-3</v>
      </c>
      <c r="W7" s="12">
        <f ca="1"/>
        <v>-2.3888067341598651E-3</v>
      </c>
      <c r="X7" s="12">
        <f ca="1"/>
        <v>-4.7591107634135099E-3</v>
      </c>
      <c r="Y7" s="12">
        <f ca="1"/>
        <v>1.179820992676972E-2</v>
      </c>
      <c r="Z7" s="12">
        <f ca="1"/>
        <v>0</v>
      </c>
    </row>
    <row r="8" spans="1:202" x14ac:dyDescent="0.2">
      <c r="A8" vm="135">
        <f ca="1"/>
        <v>45967</v>
      </c>
      <c r="B8" s="13">
        <f ca="1"/>
        <v>-1.2767374814229536E-2</v>
      </c>
      <c r="C8" s="66">
        <f t="shared" ca="1" si="1"/>
        <v>0.97864509033204949</v>
      </c>
      <c r="D8" s="66">
        <f t="shared" ca="1" si="2"/>
        <v>1</v>
      </c>
      <c r="E8" s="13">
        <f t="shared" ca="1" si="0"/>
        <v>-2.1354909667950506E-2</v>
      </c>
      <c r="F8" s="13">
        <f ca="1"/>
        <v>-1.0729360370731245E-2</v>
      </c>
      <c r="G8" s="67">
        <f t="shared" ca="1" si="3"/>
        <v>0.9751523880184465</v>
      </c>
      <c r="H8" s="13">
        <f ca="1"/>
        <v>-1.8627262225645036E-2</v>
      </c>
      <c r="I8" s="67">
        <f t="shared" ca="1" si="4"/>
        <v>0.96209320980857849</v>
      </c>
      <c r="J8" s="12">
        <f ca="1"/>
        <v>2.0719929762949008E-3</v>
      </c>
      <c r="K8" s="12">
        <f ca="1"/>
        <v>-6.5460583814018536E-2</v>
      </c>
      <c r="L8" s="12">
        <f ca="1"/>
        <v>-4.0323003513187516E-2</v>
      </c>
      <c r="M8" s="12">
        <f ca="1"/>
        <v>1.5369430344049695E-2</v>
      </c>
      <c r="N8" s="12">
        <f ca="1"/>
        <v>8.0280251058240104E-3</v>
      </c>
      <c r="O8" s="12">
        <f ca="1"/>
        <v>-6.2133645955451233E-2</v>
      </c>
      <c r="P8" s="12">
        <f ca="1"/>
        <v>2.0695772149403879E-3</v>
      </c>
      <c r="Q8" s="12">
        <f ca="1"/>
        <v>-1.9835949207350767E-2</v>
      </c>
      <c r="R8" s="12">
        <f ca="1"/>
        <v>-1.3696601762049898E-3</v>
      </c>
      <c r="S8" s="12">
        <f ca="1"/>
        <v>-9.4434230319239143E-3</v>
      </c>
      <c r="T8" s="12">
        <f ca="1"/>
        <v>-2.4574141301312524E-2</v>
      </c>
      <c r="U8" s="12">
        <f ca="1"/>
        <v>-1.224559639797651E-2</v>
      </c>
      <c r="V8" s="12">
        <f ca="1"/>
        <v>-2.8617106314948071E-2</v>
      </c>
      <c r="W8" s="12">
        <f ca="1"/>
        <v>-2.3261117445838142E-2</v>
      </c>
      <c r="X8" s="12">
        <f ca="1"/>
        <v>1.8341412288747083E-3</v>
      </c>
      <c r="Y8" s="12">
        <f ca="1"/>
        <v>-5.2271813429835001E-3</v>
      </c>
      <c r="Z8" s="12">
        <f ca="1"/>
        <v>0</v>
      </c>
    </row>
    <row r="9" spans="1:202" x14ac:dyDescent="0.2">
      <c r="A9" vm="152">
        <f ca="1"/>
        <v>45968</v>
      </c>
      <c r="B9" s="13">
        <f ca="1"/>
        <v>-3.4874440775286759E-3</v>
      </c>
      <c r="C9" s="66">
        <f t="shared" ca="1" si="1"/>
        <v>0.97523212030776851</v>
      </c>
      <c r="D9" s="66">
        <f t="shared" ca="1" si="2"/>
        <v>1</v>
      </c>
      <c r="E9" s="13">
        <f t="shared" ca="1" si="0"/>
        <v>-2.4767879692231487E-2</v>
      </c>
      <c r="F9" s="13">
        <f ca="1"/>
        <v>9.8461905685431894E-4</v>
      </c>
      <c r="G9" s="67">
        <f t="shared" ca="1" si="3"/>
        <v>0.97611254164302641</v>
      </c>
      <c r="H9" s="13">
        <f ca="1"/>
        <v>-3.155296156424181E-3</v>
      </c>
      <c r="I9" s="67">
        <f t="shared" ca="1" si="4"/>
        <v>0.95905752080154771</v>
      </c>
      <c r="J9" s="12">
        <f ca="1"/>
        <v>-1.9765893320249472E-2</v>
      </c>
      <c r="K9" s="12">
        <f ca="1"/>
        <v>-2.7307584401009999E-2</v>
      </c>
      <c r="L9" s="12">
        <f ca="1"/>
        <v>-1.7593705605944643E-2</v>
      </c>
      <c r="M9" s="12">
        <f ca="1"/>
        <v>-1.0276350506874143E-2</v>
      </c>
      <c r="N9" s="12">
        <f ca="1"/>
        <v>2.1575441644946292E-2</v>
      </c>
      <c r="O9" s="12">
        <f ca="1"/>
        <v>-2.5000000000000022E-2</v>
      </c>
      <c r="P9" s="12">
        <f ca="1"/>
        <v>8.9496459480724599E-3</v>
      </c>
      <c r="Q9" s="12">
        <f ca="1"/>
        <v>-5.6326694830022284E-4</v>
      </c>
      <c r="R9" s="12">
        <f ca="1"/>
        <v>-4.818919820587686E-3</v>
      </c>
      <c r="S9" s="12">
        <f ca="1"/>
        <v>-1.7323321803200176E-2</v>
      </c>
      <c r="T9" s="12">
        <f ca="1"/>
        <v>9.733753220727337E-3</v>
      </c>
      <c r="U9" s="12">
        <f ca="1"/>
        <v>-9.0950432014558213E-4</v>
      </c>
      <c r="V9" s="12">
        <f ca="1"/>
        <v>5.636932192231825E-3</v>
      </c>
      <c r="W9" s="12">
        <f ca="1"/>
        <v>1.3658650478636458E-2</v>
      </c>
      <c r="X9" s="12">
        <f ca="1"/>
        <v>1.3600104616189546E-2</v>
      </c>
      <c r="Y9" s="12">
        <f ca="1"/>
        <v>1.8458636486122337E-2</v>
      </c>
      <c r="Z9" s="12">
        <f ca="1"/>
        <v>0</v>
      </c>
    </row>
    <row r="10" spans="1:202" x14ac:dyDescent="0.2">
      <c r="A10" vm="169">
        <f ca="1"/>
        <v>45971</v>
      </c>
      <c r="B10" s="13">
        <f ca="1"/>
        <v>1.6866393930693717E-2</v>
      </c>
      <c r="C10" s="66">
        <f t="shared" ca="1" si="1"/>
        <v>0.99168076942274497</v>
      </c>
      <c r="D10" s="66">
        <f t="shared" ca="1" si="2"/>
        <v>1</v>
      </c>
      <c r="E10" s="13">
        <f t="shared" ca="1" si="0"/>
        <v>-8.3192305772550323E-3</v>
      </c>
      <c r="F10" s="13">
        <f ca="1"/>
        <v>1.5604274408691943E-2</v>
      </c>
      <c r="G10" s="67">
        <f t="shared" ca="1" si="3"/>
        <v>0.99134406959658994</v>
      </c>
      <c r="H10" s="13">
        <f ca="1"/>
        <v>2.2124184078459619E-2</v>
      </c>
      <c r="I10" s="67">
        <f t="shared" ca="1" si="4"/>
        <v>0.98027588593359227</v>
      </c>
      <c r="J10" s="12">
        <f ca="1"/>
        <v>3.8934572756524899E-2</v>
      </c>
      <c r="K10" s="12">
        <f ca="1"/>
        <v>1.5383136236900352E-2</v>
      </c>
      <c r="L10" s="12">
        <f ca="1"/>
        <v>4.4716351501668417E-2</v>
      </c>
      <c r="M10" s="12">
        <f ca="1"/>
        <v>1.0803984846359027E-2</v>
      </c>
      <c r="N10" s="12">
        <f ca="1"/>
        <v>-4.2523033309715963E-4</v>
      </c>
      <c r="O10" s="12">
        <f ca="1"/>
        <v>5.7692307692307709E-2</v>
      </c>
      <c r="P10" s="12">
        <f ca="1"/>
        <v>-1.6570815868993671E-3</v>
      </c>
      <c r="Q10" s="12">
        <f ca="1"/>
        <v>1.8477517008171906E-2</v>
      </c>
      <c r="R10" s="12">
        <f ca="1"/>
        <v>3.5758185272096732E-3</v>
      </c>
      <c r="S10" s="12">
        <f ca="1"/>
        <v>2.5641759436797029E-2</v>
      </c>
      <c r="T10" s="12">
        <f ca="1"/>
        <v>8.3640487666569729E-3</v>
      </c>
      <c r="U10" s="12">
        <f ca="1"/>
        <v>-7.781173461646862E-3</v>
      </c>
      <c r="V10" s="12">
        <f ca="1"/>
        <v>1.6325027617527965E-2</v>
      </c>
      <c r="W10" s="12">
        <f ca="1"/>
        <v>1.6123459633767157E-2</v>
      </c>
      <c r="X10" s="12">
        <f ca="1"/>
        <v>4.0639917430009831E-3</v>
      </c>
      <c r="Y10" s="12">
        <f ca="1"/>
        <v>1.2832385236142274E-2</v>
      </c>
      <c r="Z10" s="12">
        <f ca="1"/>
        <v>0</v>
      </c>
    </row>
    <row r="11" spans="1:202" x14ac:dyDescent="0.2">
      <c r="A11" vm="186">
        <f ca="1"/>
        <v>45972</v>
      </c>
      <c r="B11" s="13">
        <f ca="1"/>
        <v>2.6905942128358293E-4</v>
      </c>
      <c r="C11" s="66">
        <f t="shared" ca="1" si="1"/>
        <v>0.99194759047666381</v>
      </c>
      <c r="D11" s="66">
        <f t="shared" ca="1" si="2"/>
        <v>1</v>
      </c>
      <c r="E11" s="13">
        <f t="shared" ca="1" si="0"/>
        <v>-8.0524095233361903E-3</v>
      </c>
      <c r="F11" s="13">
        <f ca="1"/>
        <v>2.2892697816387919E-3</v>
      </c>
      <c r="G11" s="67">
        <f t="shared" ca="1" si="3"/>
        <v>0.99361352361832422</v>
      </c>
      <c r="H11" s="13">
        <f ca="1"/>
        <v>-2.6635431542126886E-3</v>
      </c>
      <c r="I11" s="67">
        <f t="shared" ca="1" si="4"/>
        <v>0.97766487880837405</v>
      </c>
      <c r="J11" s="12">
        <f ca="1"/>
        <v>3.9574658453491729E-3</v>
      </c>
      <c r="K11" s="12">
        <f ca="1"/>
        <v>-0.16305274121768776</v>
      </c>
      <c r="L11" s="12">
        <f ca="1"/>
        <v>-4.6795144804088529E-2</v>
      </c>
      <c r="M11" s="12">
        <f ca="1"/>
        <v>6.8017767906718429E-3</v>
      </c>
      <c r="N11" s="12">
        <f ca="1"/>
        <v>1.5456608054452703E-2</v>
      </c>
      <c r="O11" s="12">
        <f ca="1"/>
        <v>-6.0606060606060996E-3</v>
      </c>
      <c r="P11" s="12">
        <f ca="1"/>
        <v>9.9589923842999806E-3</v>
      </c>
      <c r="Q11" s="12">
        <f ca="1"/>
        <v>5.2964426877470938E-3</v>
      </c>
      <c r="R11" s="12">
        <f ca="1"/>
        <v>2.1601158000222664E-2</v>
      </c>
      <c r="S11" s="12">
        <f ca="1"/>
        <v>-1.7941348809955682E-2</v>
      </c>
      <c r="T11" s="12">
        <f ca="1"/>
        <v>-3.655279066497874E-3</v>
      </c>
      <c r="U11" s="12">
        <f ca="1"/>
        <v>-1.8567871029750993E-3</v>
      </c>
      <c r="V11" s="12">
        <f ca="1"/>
        <v>2.8180354267310914E-3</v>
      </c>
      <c r="W11" s="12">
        <f ca="1"/>
        <v>2.7881672900373911E-2</v>
      </c>
      <c r="X11" s="12">
        <f ca="1"/>
        <v>3.7905557340187634E-3</v>
      </c>
      <c r="Y11" s="12">
        <f ca="1"/>
        <v>5.8777429467085085E-3</v>
      </c>
      <c r="Z11" s="12">
        <f ca="1"/>
        <v>0</v>
      </c>
    </row>
    <row r="12" spans="1:202" x14ac:dyDescent="0.2">
      <c r="A12" vm="203">
        <f ca="1"/>
        <v>45973</v>
      </c>
      <c r="B12" s="13">
        <f ca="1"/>
        <v>-4.0252752791854135E-3</v>
      </c>
      <c r="C12" s="66">
        <f t="shared" ca="1" si="1"/>
        <v>0.98795472836247056</v>
      </c>
      <c r="D12" s="66">
        <f t="shared" ca="1" si="2"/>
        <v>1</v>
      </c>
      <c r="E12" s="13">
        <f t="shared" ca="1" si="0"/>
        <v>-1.2045271637529442E-2</v>
      </c>
      <c r="F12" s="13">
        <f ca="1"/>
        <v>5.5636896046862283E-4</v>
      </c>
      <c r="G12" s="67">
        <f t="shared" ca="1" si="3"/>
        <v>0.99416633934156728</v>
      </c>
      <c r="H12" s="13">
        <f ca="1"/>
        <v>-7.8832633492609272E-4</v>
      </c>
      <c r="I12" s="67">
        <f t="shared" ca="1" si="4"/>
        <v>0.97689415983767713</v>
      </c>
      <c r="J12" s="12">
        <f ca="1"/>
        <v>-1.4773428395146393E-2</v>
      </c>
      <c r="K12" s="12">
        <f ca="1"/>
        <v>-3.3487951125692916E-2</v>
      </c>
      <c r="L12" s="12">
        <f ca="1"/>
        <v>-3.1722982407148881E-2</v>
      </c>
      <c r="M12" s="12">
        <f ca="1"/>
        <v>1.3235902385219767E-2</v>
      </c>
      <c r="N12" s="12">
        <f ca="1"/>
        <v>-1.3964530093562022E-3</v>
      </c>
      <c r="O12" s="12">
        <f ca="1"/>
        <v>4.8780487804878092E-3</v>
      </c>
      <c r="P12" s="12">
        <f ca="1"/>
        <v>0</v>
      </c>
      <c r="Q12" s="12">
        <f ca="1"/>
        <v>4.8360462373200352E-3</v>
      </c>
      <c r="R12" s="12">
        <f ca="1"/>
        <v>-6.4668483197092286E-3</v>
      </c>
      <c r="S12" s="12">
        <f ca="1"/>
        <v>9.2624161836574181E-3</v>
      </c>
      <c r="T12" s="12">
        <f ca="1"/>
        <v>2.5821927472837514E-2</v>
      </c>
      <c r="U12" s="12">
        <f ca="1"/>
        <v>1.5319633204202709E-4</v>
      </c>
      <c r="V12" s="12">
        <f ca="1"/>
        <v>-1.9670814933761549E-2</v>
      </c>
      <c r="W12" s="12">
        <f ca="1"/>
        <v>-1.7863049950380461E-2</v>
      </c>
      <c r="X12" s="12">
        <f ca="1"/>
        <v>-1.8689196108551021E-2</v>
      </c>
      <c r="Y12" s="12">
        <f ca="1"/>
        <v>-7.7911959485782445E-3</v>
      </c>
      <c r="Z12" s="12">
        <f ca="1"/>
        <v>0</v>
      </c>
    </row>
    <row r="13" spans="1:202" x14ac:dyDescent="0.2">
      <c r="A13" vm="218">
        <f ca="1"/>
        <v>45974</v>
      </c>
      <c r="B13" s="13">
        <f ca="1"/>
        <v>-1.5646204895944666E-2</v>
      </c>
      <c r="C13" s="66">
        <f t="shared" ca="1" si="1"/>
        <v>0.97249698625459391</v>
      </c>
      <c r="D13" s="66">
        <f t="shared" ca="1" si="2"/>
        <v>1</v>
      </c>
      <c r="E13" s="13">
        <f t="shared" ca="1" si="0"/>
        <v>-2.7503013745406091E-2</v>
      </c>
      <c r="F13" s="13">
        <f ca="1"/>
        <v>-1.6593988703210605E-2</v>
      </c>
      <c r="G13" s="67">
        <f t="shared" ca="1" si="3"/>
        <v>0.97766915433742108</v>
      </c>
      <c r="H13" s="13">
        <f ca="1"/>
        <v>-2.0416049462227193E-2</v>
      </c>
      <c r="I13" s="67">
        <f t="shared" ca="1" si="4"/>
        <v>0.95694984035107022</v>
      </c>
      <c r="J13" s="12">
        <f ca="1"/>
        <v>-2.8911387120342358E-2</v>
      </c>
      <c r="K13" s="12">
        <f ca="1"/>
        <v>-8.2991923211986451E-2</v>
      </c>
      <c r="L13" s="12">
        <f ca="1"/>
        <v>-5.6122743265847763E-2</v>
      </c>
      <c r="M13" s="12">
        <f ca="1"/>
        <v>-4.4904068580758905E-3</v>
      </c>
      <c r="N13" s="12">
        <f ca="1"/>
        <v>-6.1529855964203017E-3</v>
      </c>
      <c r="O13" s="12">
        <f ca="1"/>
        <v>-8.4951456310680129E-3</v>
      </c>
      <c r="P13" s="12">
        <f ca="1"/>
        <v>-8.7006960556843538E-3</v>
      </c>
      <c r="Q13" s="12">
        <f ca="1"/>
        <v>-1.5357827601048535E-2</v>
      </c>
      <c r="R13" s="12">
        <f ca="1"/>
        <v>-1.9014882802502742E-3</v>
      </c>
      <c r="S13" s="12">
        <f ca="1"/>
        <v>-4.2902989696526173E-2</v>
      </c>
      <c r="T13" s="12">
        <f ca="1"/>
        <v>-7.7854195323246222E-2</v>
      </c>
      <c r="U13" s="12">
        <f ca="1"/>
        <v>1.2122538293216634E-2</v>
      </c>
      <c r="V13" s="12">
        <f ca="1"/>
        <v>-2.7108927108926983E-2</v>
      </c>
      <c r="W13" s="12">
        <f ca="1"/>
        <v>3.9294936566747207E-3</v>
      </c>
      <c r="X13" s="12">
        <f ca="1"/>
        <v>1.4740412209757414E-2</v>
      </c>
      <c r="Y13" s="12">
        <f ca="1"/>
        <v>-6.4127731972254409E-3</v>
      </c>
      <c r="Z13" s="12">
        <f ca="1"/>
        <v>0</v>
      </c>
    </row>
    <row r="14" spans="1:202" x14ac:dyDescent="0.2">
      <c r="A14" vm="235">
        <f ca="1"/>
        <v>45975</v>
      </c>
      <c r="B14" s="13">
        <f ca="1"/>
        <v>1.4816957561237538E-3</v>
      </c>
      <c r="C14" s="66">
        <f t="shared" ca="1" si="1"/>
        <v>0.97393793091197045</v>
      </c>
      <c r="D14" s="66">
        <f t="shared" ca="1" si="2"/>
        <v>1</v>
      </c>
      <c r="E14" s="13">
        <f ca="1">(C14-D14)/D14</f>
        <v>-2.6062069088029549E-2</v>
      </c>
      <c r="F14" s="13">
        <f ca="1"/>
        <v>-1.636807332896506E-4</v>
      </c>
      <c r="G14" s="67">
        <f t="shared" ca="1" si="3"/>
        <v>0.97750912873332441</v>
      </c>
      <c r="H14" s="13">
        <f ca="1"/>
        <v>7.560815253122577E-4</v>
      </c>
      <c r="I14" s="67">
        <f t="shared" ca="1" si="4"/>
        <v>0.95767337244601014</v>
      </c>
      <c r="J14" s="12">
        <f ca="1"/>
        <v>-7.6669532817426056E-3</v>
      </c>
      <c r="K14" s="12">
        <f ca="1"/>
        <v>-1.2509573653306183E-2</v>
      </c>
      <c r="L14" s="12">
        <f ca="1"/>
        <v>4.4793449034465915E-2</v>
      </c>
      <c r="M14" s="12">
        <f ca="1"/>
        <v>-8.201202843083566E-3</v>
      </c>
      <c r="N14" s="12">
        <f ca="1"/>
        <v>1.2663571127058404E-3</v>
      </c>
      <c r="O14" s="12">
        <f ca="1"/>
        <v>-2.3255813953488302E-2</v>
      </c>
      <c r="P14" s="12">
        <f ca="1"/>
        <v>-5.8513750731425951E-4</v>
      </c>
      <c r="Q14" s="12">
        <f ca="1"/>
        <v>1.3689920324266192E-2</v>
      </c>
      <c r="R14" s="12">
        <f ca="1"/>
        <v>-1.9783843194722817E-3</v>
      </c>
      <c r="S14" s="12">
        <f ca="1"/>
        <v>7.294546738043195E-3</v>
      </c>
      <c r="T14" s="12">
        <f ca="1"/>
        <v>-1.5065632458234002E-2</v>
      </c>
      <c r="U14" s="12">
        <f ca="1"/>
        <v>-2.2700739395512537E-3</v>
      </c>
      <c r="V14" s="12">
        <f ca="1"/>
        <v>-1.2164323596262405E-2</v>
      </c>
      <c r="W14" s="12">
        <f ca="1"/>
        <v>2.180720196823982E-2</v>
      </c>
      <c r="X14" s="12">
        <f ca="1"/>
        <v>1.3112225221750817E-2</v>
      </c>
      <c r="Y14" s="12">
        <f ca="1"/>
        <v>-2.1074815595363283E-3</v>
      </c>
      <c r="Z14" s="12">
        <f ca="1"/>
        <v>0</v>
      </c>
    </row>
    <row r="15" spans="1:202" x14ac:dyDescent="0.2">
      <c r="A15" vm="252">
        <f ca="1"/>
        <v>45978</v>
      </c>
      <c r="B15" s="13">
        <f ca="1"/>
        <v>-9.9945639227938463E-3</v>
      </c>
      <c r="C15" s="66">
        <f t="shared" ca="1" si="1"/>
        <v>0.96420384600463716</v>
      </c>
      <c r="D15" s="66">
        <f t="shared" ca="1" si="2"/>
        <v>1</v>
      </c>
      <c r="E15" s="13">
        <f t="shared" ca="1" si="0"/>
        <v>-3.5796153995362845E-2</v>
      </c>
      <c r="F15" s="13">
        <f ca="1"/>
        <v>-9.3164466536692636E-3</v>
      </c>
      <c r="G15" s="67">
        <f t="shared" ca="1" si="3"/>
        <v>0.96840221708200569</v>
      </c>
      <c r="H15" s="13">
        <f ca="1"/>
        <v>-8.5405511940348511E-3</v>
      </c>
      <c r="I15" s="67">
        <f t="shared" ca="1" si="4"/>
        <v>0.94949431398147099</v>
      </c>
      <c r="J15" s="12">
        <f ca="1"/>
        <v>3.1121380605097837E-2</v>
      </c>
      <c r="K15" s="12">
        <f ca="1"/>
        <v>-2.62409513960703E-2</v>
      </c>
      <c r="L15" s="12">
        <f ca="1"/>
        <v>-2.5267590805404416E-2</v>
      </c>
      <c r="M15" s="12">
        <f ca="1"/>
        <v>-1.8467475192943783E-2</v>
      </c>
      <c r="N15" s="12">
        <f ca="1"/>
        <v>-6.7453625632376557E-3</v>
      </c>
      <c r="O15" s="12">
        <f ca="1"/>
        <v>-1.0025062656641603E-2</v>
      </c>
      <c r="P15" s="12">
        <f ca="1"/>
        <v>4.5862607338016392E-3</v>
      </c>
      <c r="Q15" s="12">
        <f ca="1"/>
        <v>-5.2726488690265638E-3</v>
      </c>
      <c r="R15" s="12">
        <f ca="1"/>
        <v>-1.817113909181034E-2</v>
      </c>
      <c r="S15" s="12">
        <f ca="1"/>
        <v>5.5480932079654544E-4</v>
      </c>
      <c r="T15" s="12">
        <f ca="1"/>
        <v>-3.9678933817961615E-2</v>
      </c>
      <c r="U15" s="12">
        <f ca="1"/>
        <v>-1.1257015319941943E-2</v>
      </c>
      <c r="V15" s="12">
        <f ca="1"/>
        <v>-7.7549107333076961E-3</v>
      </c>
      <c r="W15" s="12">
        <f ca="1"/>
        <v>-2.9002955018058496E-2</v>
      </c>
      <c r="X15" s="12">
        <f ca="1"/>
        <v>-1.7764243116355827E-2</v>
      </c>
      <c r="Y15" s="12">
        <f ca="1"/>
        <v>-4.7518479408659164E-3</v>
      </c>
      <c r="Z15" s="12">
        <f ca="1"/>
        <v>0</v>
      </c>
    </row>
    <row r="16" spans="1:202" x14ac:dyDescent="0.2">
      <c r="A16" vm="269">
        <f ca="1"/>
        <v>45979</v>
      </c>
      <c r="B16" s="13">
        <f ca="1"/>
        <v>-1.2314049708114319E-2</v>
      </c>
      <c r="C16" s="66">
        <f t="shared" ca="1" si="1"/>
        <v>0.95233059191618108</v>
      </c>
      <c r="D16" s="66">
        <f t="shared" ca="1" si="2"/>
        <v>1</v>
      </c>
      <c r="E16" s="13">
        <f t="shared" ca="1" si="0"/>
        <v>-4.766940808381892E-2</v>
      </c>
      <c r="F16" s="13">
        <f ca="1"/>
        <v>-8.397554343743785E-3</v>
      </c>
      <c r="G16" s="67">
        <f t="shared" ca="1" si="3"/>
        <v>0.96027000683745756</v>
      </c>
      <c r="H16" s="13">
        <f ca="1"/>
        <v>-1.2175728058841151E-2</v>
      </c>
      <c r="I16" s="67">
        <f t="shared" ca="1" si="4"/>
        <v>0.93793352942101671</v>
      </c>
      <c r="J16" s="12">
        <f ca="1"/>
        <v>-2.2408963585435204E-3</v>
      </c>
      <c r="K16" s="12">
        <f ca="1"/>
        <v>-5.7082171777511626E-3</v>
      </c>
      <c r="L16" s="12">
        <f ca="1"/>
        <v>-1.0741074107410653E-2</v>
      </c>
      <c r="M16" s="12">
        <f ca="1"/>
        <v>-2.2886829542263398E-2</v>
      </c>
      <c r="N16" s="12">
        <f ca="1"/>
        <v>7.6400679117145653E-3</v>
      </c>
      <c r="O16" s="12">
        <f ca="1"/>
        <v>-2.6582278481012689E-2</v>
      </c>
      <c r="P16" s="12">
        <f ca="1"/>
        <v>-1.5152986886838304E-2</v>
      </c>
      <c r="Q16" s="12">
        <f ca="1"/>
        <v>-2.699560582474525E-2</v>
      </c>
      <c r="R16" s="12">
        <f ca="1"/>
        <v>-7.4777536827830282E-5</v>
      </c>
      <c r="S16" s="12">
        <f ca="1"/>
        <v>-6.2746242521523055E-3</v>
      </c>
      <c r="T16" s="12">
        <f ca="1"/>
        <v>-2.2078536508436386E-3</v>
      </c>
      <c r="U16" s="12">
        <f ca="1"/>
        <v>-1.9187148664789211E-2</v>
      </c>
      <c r="V16" s="12">
        <f ca="1"/>
        <v>-4.4316571477648448E-2</v>
      </c>
      <c r="W16" s="12">
        <f ca="1"/>
        <v>1.0820559062218349E-2</v>
      </c>
      <c r="X16" s="12">
        <f ca="1"/>
        <v>-7.750936571502276E-3</v>
      </c>
      <c r="Y16" s="12">
        <f ca="1"/>
        <v>-1.1936339522546913E-3</v>
      </c>
      <c r="Z16" s="12">
        <f ca="1"/>
        <v>0</v>
      </c>
    </row>
    <row r="17" spans="1:26" x14ac:dyDescent="0.2">
      <c r="A17" vm="285">
        <f ca="1"/>
        <v>45980</v>
      </c>
      <c r="B17" s="13">
        <f ca="1"/>
        <v>3.0249864245985069E-3</v>
      </c>
      <c r="C17" s="66">
        <f t="shared" ca="1" si="1"/>
        <v>0.95521137902845743</v>
      </c>
      <c r="D17" s="66">
        <f t="shared" ca="1" si="2"/>
        <v>1</v>
      </c>
      <c r="E17" s="13">
        <f t="shared" ca="1" si="0"/>
        <v>-4.478862097154257E-2</v>
      </c>
      <c r="F17" s="13">
        <f ca="1"/>
        <v>3.8631681008360896E-3</v>
      </c>
      <c r="G17" s="67">
        <f t="shared" ca="1" si="3"/>
        <v>0.96397969129606165</v>
      </c>
      <c r="H17" s="13">
        <f ca="1"/>
        <v>5.9700491355167973E-3</v>
      </c>
      <c r="I17" s="67">
        <f t="shared" ca="1" si="4"/>
        <v>0.94353303867750882</v>
      </c>
      <c r="J17" s="12">
        <f ca="1"/>
        <v>2.817939359910171E-2</v>
      </c>
      <c r="K17" s="12">
        <f ca="1"/>
        <v>2.6702269692924219E-4</v>
      </c>
      <c r="L17" s="12">
        <f ca="1"/>
        <v>3.5120708479922325E-2</v>
      </c>
      <c r="M17" s="12">
        <f ca="1"/>
        <v>-6.4664463284954676E-3</v>
      </c>
      <c r="N17" s="12">
        <f ca="1"/>
        <v>-1.5445099691098196E-3</v>
      </c>
      <c r="O17" s="12">
        <f ca="1"/>
        <v>7.8023407022105307E-3</v>
      </c>
      <c r="P17" s="12">
        <f ca="1"/>
        <v>-7.6930663773547847E-3</v>
      </c>
      <c r="Q17" s="12">
        <f ca="1"/>
        <v>-1.3507766459426085E-2</v>
      </c>
      <c r="R17" s="12">
        <f ca="1"/>
        <v>4.1878552198624241E-3</v>
      </c>
      <c r="S17" s="12">
        <f ca="1"/>
        <v>4.0881057268722598E-2</v>
      </c>
      <c r="T17" s="12">
        <f ca="1"/>
        <v>2.0388809862494028E-2</v>
      </c>
      <c r="U17" s="12">
        <f ca="1"/>
        <v>-5.005139205434217E-3</v>
      </c>
      <c r="V17" s="12">
        <f ca="1"/>
        <v>6.2907211862506252E-4</v>
      </c>
      <c r="W17" s="12">
        <f ca="1"/>
        <v>-1.8956289027653894E-2</v>
      </c>
      <c r="X17" s="12">
        <f ca="1"/>
        <v>-1.2498372607733454E-2</v>
      </c>
      <c r="Y17" s="12">
        <f ca="1"/>
        <v>-2.1776656486522383E-2</v>
      </c>
      <c r="Z17" s="12">
        <f ca="1"/>
        <v>0</v>
      </c>
    </row>
    <row r="18" spans="1:26" x14ac:dyDescent="0.2">
      <c r="A18" vm="301">
        <f ca="1"/>
        <v>45981</v>
      </c>
      <c r="B18" s="13">
        <f ca="1"/>
        <v>-1.0442886933228694E-2</v>
      </c>
      <c r="C18" s="66">
        <f t="shared" ca="1" si="1"/>
        <v>0.94523621459992979</v>
      </c>
      <c r="D18" s="66">
        <f t="shared" ca="1" si="2"/>
        <v>1</v>
      </c>
      <c r="E18" s="13">
        <f t="shared" ca="1" si="0"/>
        <v>-5.4763785400070208E-2</v>
      </c>
      <c r="F18" s="13">
        <f ca="1"/>
        <v>-1.5242292078535558E-2</v>
      </c>
      <c r="G18" s="67">
        <f t="shared" ca="1" si="3"/>
        <v>0.9492864312835505</v>
      </c>
      <c r="H18" s="13">
        <f ca="1"/>
        <v>-2.3671795555703756E-2</v>
      </c>
      <c r="I18" s="67">
        <f t="shared" ca="1" si="4"/>
        <v>0.92119791748588287</v>
      </c>
      <c r="J18" s="12">
        <f ca="1"/>
        <v>-1.0273388170244702E-2</v>
      </c>
      <c r="K18" s="12">
        <f ca="1"/>
        <v>-7.6214628937533502E-2</v>
      </c>
      <c r="L18" s="12">
        <f ca="1"/>
        <v>-6.4693817755640204E-2</v>
      </c>
      <c r="M18" s="12">
        <f ca="1"/>
        <v>-2.285218397454436E-2</v>
      </c>
      <c r="N18" s="12">
        <f ca="1"/>
        <v>1.4062719729994733E-3</v>
      </c>
      <c r="O18" s="12">
        <f ca="1"/>
        <v>5.0322580645161263E-2</v>
      </c>
      <c r="P18" s="12">
        <f ca="1"/>
        <v>6.4605903985687219E-2</v>
      </c>
      <c r="Q18" s="12">
        <f ca="1"/>
        <v>-1.7839546723599886E-2</v>
      </c>
      <c r="R18" s="12">
        <f ca="1"/>
        <v>-8.6014298480786566E-3</v>
      </c>
      <c r="S18" s="12">
        <f ca="1"/>
        <v>-2.1443485130635986E-2</v>
      </c>
      <c r="T18" s="12">
        <f ca="1"/>
        <v>-4.6468401486988831E-2</v>
      </c>
      <c r="U18" s="12">
        <f ca="1"/>
        <v>3.0204356613519057E-3</v>
      </c>
      <c r="V18" s="12">
        <f ca="1"/>
        <v>-2.4922538057389199E-2</v>
      </c>
      <c r="W18" s="12">
        <f ca="1"/>
        <v>-5.7967719936349305E-3</v>
      </c>
      <c r="X18" s="12">
        <f ca="1"/>
        <v>-9.1628213579432183E-3</v>
      </c>
      <c r="Y18" s="12">
        <f ca="1"/>
        <v>-6.2440613546899115E-3</v>
      </c>
      <c r="Z18" s="12">
        <f ca="1"/>
        <v>0</v>
      </c>
    </row>
    <row r="19" spans="1:26" x14ac:dyDescent="0.2">
      <c r="A19" vm="318">
        <f ca="1"/>
        <v>45982</v>
      </c>
      <c r="B19" s="13">
        <f ca="1"/>
        <v>2.0993414452115532E-3</v>
      </c>
      <c r="C19" s="66">
        <f t="shared" ca="1" si="1"/>
        <v>0.94722058816075427</v>
      </c>
      <c r="D19" s="66">
        <f t="shared" ca="1" si="2"/>
        <v>1</v>
      </c>
      <c r="E19" s="13">
        <f t="shared" ca="1" si="0"/>
        <v>-5.2779411839245727E-2</v>
      </c>
      <c r="F19" s="13">
        <f ca="1"/>
        <v>9.9612278362679607E-3</v>
      </c>
      <c r="G19" s="67">
        <f t="shared" ca="1" si="3"/>
        <v>0.95874248970744369</v>
      </c>
      <c r="H19" s="13">
        <f ca="1"/>
        <v>7.512763160141489E-3</v>
      </c>
      <c r="I19" s="67">
        <f t="shared" ca="1" si="4"/>
        <v>0.92811865926356985</v>
      </c>
      <c r="J19" s="12">
        <f ca="1"/>
        <v>3.3347127388095643E-2</v>
      </c>
      <c r="K19" s="12">
        <f ca="1"/>
        <v>3.5255020950729854E-2</v>
      </c>
      <c r="L19" s="12">
        <f ca="1"/>
        <v>1.3783597518952639E-3</v>
      </c>
      <c r="M19" s="12">
        <f ca="1"/>
        <v>2.0722320899940749E-2</v>
      </c>
      <c r="N19" s="12">
        <f ca="1"/>
        <v>2.443477039741615E-2</v>
      </c>
      <c r="O19" s="12">
        <f ca="1"/>
        <v>-6.879606879606881E-2</v>
      </c>
      <c r="P19" s="12">
        <f ca="1"/>
        <v>-1.6711791616095706E-2</v>
      </c>
      <c r="Q19" s="12">
        <f ca="1"/>
        <v>-1.3188972263445065E-2</v>
      </c>
      <c r="R19" s="12">
        <f ca="1"/>
        <v>1.9680751173708932E-2</v>
      </c>
      <c r="S19" s="12">
        <f ca="1"/>
        <v>-1.9087711204659463E-2</v>
      </c>
      <c r="T19" s="12">
        <f ca="1"/>
        <v>-8.2846003898636722E-3</v>
      </c>
      <c r="U19" s="12">
        <f ca="1"/>
        <v>6.4032956822532849E-3</v>
      </c>
      <c r="V19" s="12">
        <f ca="1"/>
        <v>1.6348899327622846E-2</v>
      </c>
      <c r="W19" s="12">
        <f ca="1"/>
        <v>-1.1432491139818923E-3</v>
      </c>
      <c r="X19" s="12">
        <f ca="1"/>
        <v>-2.1954627103986102E-3</v>
      </c>
      <c r="Y19" s="12">
        <f ca="1"/>
        <v>8.1956016937589915E-4</v>
      </c>
      <c r="Z19" s="12">
        <f ca="1"/>
        <v>0</v>
      </c>
    </row>
    <row r="20" spans="1:26" x14ac:dyDescent="0.2">
      <c r="A20" vm="335">
        <f ca="1"/>
        <v>45985</v>
      </c>
      <c r="B20" s="13">
        <f ca="1"/>
        <v>1.7858424777011477E-2</v>
      </c>
      <c r="C20" s="66">
        <f t="shared" ca="1" si="1"/>
        <v>0.96413645578165974</v>
      </c>
      <c r="D20" s="66">
        <f t="shared" ca="1" si="2"/>
        <v>1</v>
      </c>
      <c r="E20" s="13">
        <f t="shared" ca="1" si="0"/>
        <v>-3.586354421834026E-2</v>
      </c>
      <c r="F20" s="13">
        <f ca="1"/>
        <v>1.4718601581111601E-2</v>
      </c>
      <c r="G20" s="67">
        <f t="shared" ca="1" si="3"/>
        <v>0.97285383843233053</v>
      </c>
      <c r="H20" s="13">
        <f ca="1"/>
        <v>2.5573237073567512E-2</v>
      </c>
      <c r="I20" s="67">
        <f t="shared" ca="1" si="4"/>
        <v>0.95185365776931874</v>
      </c>
      <c r="J20" s="12">
        <f ca="1"/>
        <v>6.2806607708993933E-2</v>
      </c>
      <c r="K20" s="12">
        <f ca="1"/>
        <v>2.7215631542218954E-2</v>
      </c>
      <c r="L20" s="12">
        <f ca="1"/>
        <v>5.6810361008571508E-2</v>
      </c>
      <c r="M20" s="12">
        <f ca="1"/>
        <v>-1.4501160092794674E-4</v>
      </c>
      <c r="N20" s="12">
        <f ca="1"/>
        <v>-4.9348869088416958E-3</v>
      </c>
      <c r="O20" s="12">
        <f ca="1"/>
        <v>0</v>
      </c>
      <c r="P20" s="12">
        <f ca="1"/>
        <v>-1.1963539688568114E-2</v>
      </c>
      <c r="Q20" s="12">
        <f ca="1"/>
        <v>3.9820384647970553E-3</v>
      </c>
      <c r="R20" s="12">
        <f ca="1"/>
        <v>1.631735975542381E-2</v>
      </c>
      <c r="S20" s="12">
        <f ca="1"/>
        <v>0.11099353321575545</v>
      </c>
      <c r="T20" s="12">
        <f ca="1"/>
        <v>2.2604422604422636E-2</v>
      </c>
      <c r="U20" s="12">
        <f ca="1"/>
        <v>-1.4337994015639399E-2</v>
      </c>
      <c r="V20" s="12">
        <f ca="1"/>
        <v>2.5329647922425202E-2</v>
      </c>
      <c r="W20" s="12">
        <f ca="1"/>
        <v>2.1746594941054465E-3</v>
      </c>
      <c r="X20" s="12">
        <f ca="1"/>
        <v>-1.533537805040619E-3</v>
      </c>
      <c r="Y20" s="12">
        <f ca="1"/>
        <v>-5.4592602702319137E-4</v>
      </c>
      <c r="Z20" s="12">
        <f ca="1"/>
        <v>0</v>
      </c>
    </row>
    <row r="21" spans="1:26" x14ac:dyDescent="0.2">
      <c r="A21" vm="351">
        <f ca="1"/>
        <v>45986</v>
      </c>
      <c r="B21" s="13">
        <f ca="1"/>
        <v>5.6068660758461404E-3</v>
      </c>
      <c r="C21" s="66">
        <f t="shared" ca="1" si="1"/>
        <v>0.96954223976806853</v>
      </c>
      <c r="D21" s="66">
        <f t="shared" ca="1" si="2"/>
        <v>1</v>
      </c>
      <c r="E21" s="13">
        <f t="shared" ca="1" si="0"/>
        <v>-3.0457760231931474E-2</v>
      </c>
      <c r="F21" s="13">
        <f ca="1"/>
        <v>9.4058887742436426E-3</v>
      </c>
      <c r="G21" s="67">
        <f t="shared" ca="1" si="3"/>
        <v>0.98200439343022106</v>
      </c>
      <c r="H21" s="13">
        <f ca="1"/>
        <v>6.1636591975675614E-3</v>
      </c>
      <c r="I21" s="67">
        <f t="shared" ca="1" si="4"/>
        <v>0.95772055932176692</v>
      </c>
      <c r="J21" s="12">
        <f ca="1"/>
        <v>1.6233868182246258E-2</v>
      </c>
      <c r="K21" s="12">
        <f ca="1"/>
        <v>-3.1385869565217273E-2</v>
      </c>
      <c r="L21" s="12">
        <f ca="1"/>
        <v>3.9074063110531299E-3</v>
      </c>
      <c r="M21" s="12">
        <f ca="1"/>
        <v>8.1218274111676259E-3</v>
      </c>
      <c r="N21" s="12">
        <f ca="1"/>
        <v>2.7552004408315511E-4</v>
      </c>
      <c r="O21" s="12">
        <f ca="1"/>
        <v>0</v>
      </c>
      <c r="P21" s="12">
        <f ca="1"/>
        <v>2.8252931001345294E-2</v>
      </c>
      <c r="Q21" s="12">
        <f ca="1"/>
        <v>6.308016877637046E-3</v>
      </c>
      <c r="R21" s="12">
        <f ca="1"/>
        <v>3.8054508553204691E-3</v>
      </c>
      <c r="S21" s="12">
        <f ca="1"/>
        <v>1.8705683141073015E-2</v>
      </c>
      <c r="T21" s="12">
        <f ca="1"/>
        <v>1.1853275668749053E-2</v>
      </c>
      <c r="U21" s="12">
        <f ca="1"/>
        <v>9.2651108202048693E-3</v>
      </c>
      <c r="V21" s="12">
        <f ca="1"/>
        <v>1.498143892522541E-2</v>
      </c>
      <c r="W21" s="12">
        <f ca="1"/>
        <v>-1.0735495660118777E-2</v>
      </c>
      <c r="X21" s="12">
        <f ca="1"/>
        <v>-8.146911519198663E-3</v>
      </c>
      <c r="Y21" s="12">
        <f ca="1"/>
        <v>-5.8719104192271887E-3</v>
      </c>
      <c r="Z21" s="12">
        <f ca="1"/>
        <v>0</v>
      </c>
    </row>
    <row r="22" spans="1:26" x14ac:dyDescent="0.2">
      <c r="A22" vm="368">
        <f ca="1"/>
        <v>45987</v>
      </c>
      <c r="B22" s="13">
        <f ca="1"/>
        <v>1.1539248299563093E-2</v>
      </c>
      <c r="C22" s="66">
        <f t="shared" ca="1" si="1"/>
        <v>0.98073002840966683</v>
      </c>
      <c r="D22" s="66">
        <f t="shared" ca="1" si="2"/>
        <v>1</v>
      </c>
      <c r="E22" s="13">
        <f t="shared" ca="1" si="0"/>
        <v>-1.9269971590333168E-2</v>
      </c>
      <c r="F22" s="13">
        <f ca="1"/>
        <v>6.9034991555805281E-3</v>
      </c>
      <c r="G22" s="67">
        <f t="shared" ca="1" si="3"/>
        <v>0.988783659931043</v>
      </c>
      <c r="H22" s="13">
        <f ca="1"/>
        <v>8.8357502997258308E-3</v>
      </c>
      <c r="I22" s="67">
        <f t="shared" ca="1" si="4"/>
        <v>0.96618273904084784</v>
      </c>
      <c r="J22" s="12">
        <f ca="1"/>
        <v>-1.0381905821282955E-2</v>
      </c>
      <c r="K22" s="12">
        <f ca="1"/>
        <v>4.2081638378454134E-2</v>
      </c>
      <c r="L22" s="12">
        <f ca="1"/>
        <v>1.4448310432269906E-2</v>
      </c>
      <c r="M22" s="12">
        <f ca="1"/>
        <v>1.5393468565673807E-2</v>
      </c>
      <c r="N22" s="12">
        <f ca="1"/>
        <v>3.7184960749208074E-3</v>
      </c>
      <c r="O22" s="12">
        <f ca="1"/>
        <v>3.1335149863760181E-2</v>
      </c>
      <c r="P22" s="12">
        <f ca="1"/>
        <v>1.9626168224299079E-2</v>
      </c>
      <c r="Q22" s="12">
        <f ca="1"/>
        <v>1.7841044885636981E-2</v>
      </c>
      <c r="R22" s="12">
        <f ca="1"/>
        <v>2.0940896125933861E-3</v>
      </c>
      <c r="S22" s="12">
        <f ca="1"/>
        <v>3.2568890735786837E-2</v>
      </c>
      <c r="T22" s="12">
        <f ca="1"/>
        <v>1.6146905176507742E-2</v>
      </c>
      <c r="U22" s="12">
        <f ca="1"/>
        <v>1.5575905985486305E-2</v>
      </c>
      <c r="V22" s="12">
        <f ca="1"/>
        <v>-2.2205773501109416E-3</v>
      </c>
      <c r="W22" s="12">
        <f ca="1"/>
        <v>5.4259986146385497E-3</v>
      </c>
      <c r="X22" s="12">
        <f ca="1"/>
        <v>6.5979936713120857E-3</v>
      </c>
      <c r="Y22" s="12">
        <f ca="1"/>
        <v>8.3791208791208494E-3</v>
      </c>
      <c r="Z22" s="12">
        <f ca="1"/>
        <v>0</v>
      </c>
    </row>
    <row r="23" spans="1:26" x14ac:dyDescent="0.2">
      <c r="A23" vm="385">
        <f ca="1"/>
        <v>45989</v>
      </c>
      <c r="B23" s="13">
        <f ca="1"/>
        <v>9.2740243088219459E-3</v>
      </c>
      <c r="C23" s="66">
        <f t="shared" ca="1" si="1"/>
        <v>0.98982534253352961</v>
      </c>
      <c r="D23" s="66">
        <f t="shared" ca="1" si="2"/>
        <v>1</v>
      </c>
      <c r="E23" s="13">
        <f t="shared" ca="1" si="0"/>
        <v>-1.0174657466470394E-2</v>
      </c>
      <c r="F23" s="13">
        <f ca="1"/>
        <v>5.4584510357815752E-3</v>
      </c>
      <c r="G23" s="67">
        <f t="shared" ca="1" si="3"/>
        <v>0.99418088712375752</v>
      </c>
      <c r="H23" s="13">
        <f ca="1"/>
        <v>8.1071841372686304E-3</v>
      </c>
      <c r="I23" s="67">
        <f t="shared" ca="1" si="4"/>
        <v>0.97401576041650251</v>
      </c>
      <c r="J23" s="12">
        <f ca="1"/>
        <v>-4.9956288247776648E-4</v>
      </c>
      <c r="K23" s="12">
        <f ca="1"/>
        <v>-1.5749091398573167E-2</v>
      </c>
      <c r="L23" s="12">
        <f ca="1"/>
        <v>4.4820369724450471E-2</v>
      </c>
      <c r="M23" s="12">
        <f ca="1"/>
        <v>8.2176253896286688E-3</v>
      </c>
      <c r="N23" s="12">
        <f ca="1"/>
        <v>3.293084522502765E-3</v>
      </c>
      <c r="O23" s="12">
        <f ca="1"/>
        <v>-9.2470277410832136E-3</v>
      </c>
      <c r="P23" s="12">
        <f ca="1"/>
        <v>1.2923923006416205E-2</v>
      </c>
      <c r="Q23" s="12">
        <f ca="1"/>
        <v>1.3408856848609707E-2</v>
      </c>
      <c r="R23" s="12">
        <f ca="1"/>
        <v>4.6838407494145251E-3</v>
      </c>
      <c r="S23" s="12">
        <f ca="1"/>
        <v>1.355736096787985E-2</v>
      </c>
      <c r="T23" s="12">
        <f ca="1"/>
        <v>1.2930362984888477E-2</v>
      </c>
      <c r="U23" s="12">
        <f ca="1"/>
        <v>5.8683636844076847E-3</v>
      </c>
      <c r="V23" s="12">
        <f ca="1"/>
        <v>1.7716879036481004E-2</v>
      </c>
      <c r="W23" s="12">
        <f ca="1"/>
        <v>1.8371799288092738E-2</v>
      </c>
      <c r="X23" s="12">
        <f ca="1"/>
        <v>1.0835395625710786E-2</v>
      </c>
      <c r="Y23" s="12">
        <f ca="1"/>
        <v>4.903964037596964E-3</v>
      </c>
      <c r="Z23" s="12">
        <f ca="1"/>
        <v>0</v>
      </c>
    </row>
    <row r="24" spans="1:26" x14ac:dyDescent="0.2">
      <c r="A24" vm="400">
        <f ca="1"/>
        <v>45992</v>
      </c>
      <c r="B24" s="13">
        <f ca="1"/>
        <v>-9.7249008374615466E-4</v>
      </c>
      <c r="C24" s="66">
        <f t="shared" ca="1" si="1"/>
        <v>0.98886274720327516</v>
      </c>
      <c r="D24" s="66">
        <f t="shared" ca="1" si="2"/>
        <v>1</v>
      </c>
      <c r="E24" s="13">
        <f t="shared" ca="1" si="0"/>
        <v>-1.1137252796724839E-2</v>
      </c>
      <c r="F24" s="13">
        <f ca="1"/>
        <v>-4.5654750581659576E-3</v>
      </c>
      <c r="G24" s="67">
        <f t="shared" ca="1" si="3"/>
        <v>0.98964197908028873</v>
      </c>
      <c r="H24" s="13">
        <f ca="1"/>
        <v>-3.3589018974566898E-3</v>
      </c>
      <c r="I24" s="67">
        <f t="shared" ca="1" si="4"/>
        <v>0.97074413703068685</v>
      </c>
      <c r="J24" s="12">
        <f ca="1"/>
        <v>-1.5619142821441945E-2</v>
      </c>
      <c r="K24" s="12">
        <f ca="1"/>
        <v>5.3884026258205653E-2</v>
      </c>
      <c r="L24" s="12">
        <f ca="1"/>
        <v>-2.8375897179101495E-3</v>
      </c>
      <c r="M24" s="12">
        <f ca="1"/>
        <v>2.8105677346823565E-3</v>
      </c>
      <c r="N24" s="12">
        <f ca="1"/>
        <v>-1.6001094091903756E-2</v>
      </c>
      <c r="O24" s="12">
        <f ca="1"/>
        <v>2.666666666666595E-3</v>
      </c>
      <c r="P24" s="12">
        <f ca="1"/>
        <v>9.229933942629609E-3</v>
      </c>
      <c r="Q24" s="12">
        <f ca="1"/>
        <v>-1.0711164407227414E-2</v>
      </c>
      <c r="R24" s="12">
        <f ca="1"/>
        <v>1.524116908732287E-2</v>
      </c>
      <c r="S24" s="12">
        <f ca="1"/>
        <v>-4.189001389716096E-2</v>
      </c>
      <c r="T24" s="12">
        <f ca="1"/>
        <v>-2.2762227007074753E-2</v>
      </c>
      <c r="U24" s="12">
        <f ca="1"/>
        <v>-1.7841701419674116E-3</v>
      </c>
      <c r="V24" s="12">
        <f ca="1"/>
        <v>2.8299459737586297E-3</v>
      </c>
      <c r="W24" s="12">
        <f ca="1"/>
        <v>1.7702108467696487E-2</v>
      </c>
      <c r="X24" s="12">
        <f ca="1"/>
        <v>9.3297161384238159E-3</v>
      </c>
      <c r="Y24" s="12">
        <f ca="1"/>
        <v>7.3200488003253295E-3</v>
      </c>
      <c r="Z24" s="12">
        <f ca="1"/>
        <v>0</v>
      </c>
    </row>
    <row r="25" spans="1:26" x14ac:dyDescent="0.2">
      <c r="A25" vm="417">
        <f ca="1"/>
        <v>45993</v>
      </c>
      <c r="B25" s="13">
        <f ca="1"/>
        <v>2.5761749126299066E-3</v>
      </c>
      <c r="C25" s="66">
        <f t="shared" ca="1" si="1"/>
        <v>0.9914102306046545</v>
      </c>
      <c r="D25" s="66">
        <f t="shared" ca="1" si="2"/>
        <v>1</v>
      </c>
      <c r="E25" s="13">
        <f t="shared" ca="1" si="0"/>
        <v>-8.5897693953455034E-3</v>
      </c>
      <c r="F25" s="13">
        <f ca="1"/>
        <v>1.8522057418377535E-3</v>
      </c>
      <c r="G25" s="67">
        <f t="shared" ca="1" si="3"/>
        <v>0.99147499963630492</v>
      </c>
      <c r="H25" s="13">
        <f ca="1"/>
        <v>7.8260446878495316E-3</v>
      </c>
      <c r="I25" s="67">
        <f t="shared" ca="1" si="4"/>
        <v>0.97834122402755697</v>
      </c>
      <c r="J25" s="12">
        <f ca="1"/>
        <v>2.8560548362528415E-3</v>
      </c>
      <c r="K25" s="12">
        <f ca="1"/>
        <v>-1.3366208149493963E-2</v>
      </c>
      <c r="L25" s="12">
        <f ca="1"/>
        <v>9.4297511438454773E-3</v>
      </c>
      <c r="M25" s="12">
        <f ca="1"/>
        <v>8.9686098654708779E-3</v>
      </c>
      <c r="N25" s="12">
        <f ca="1"/>
        <v>-1.7790132036136219E-2</v>
      </c>
      <c r="O25" s="12">
        <f ca="1"/>
        <v>1.3297872340425565E-2</v>
      </c>
      <c r="P25" s="12">
        <f ca="1"/>
        <v>7.8902537433873654E-3</v>
      </c>
      <c r="Q25" s="12">
        <f ca="1"/>
        <v>6.6976209064386616E-3</v>
      </c>
      <c r="R25" s="12">
        <f ca="1"/>
        <v>1.0914871070293097E-2</v>
      </c>
      <c r="S25" s="12">
        <f ca="1"/>
        <v>-1.1681516784086132E-2</v>
      </c>
      <c r="T25" s="12">
        <f ca="1"/>
        <v>7.8690588605612177E-4</v>
      </c>
      <c r="U25" s="12">
        <f ca="1"/>
        <v>1.1042150971533715E-2</v>
      </c>
      <c r="V25" s="12">
        <f ca="1"/>
        <v>2.3088763468444018E-3</v>
      </c>
      <c r="W25" s="12">
        <f ca="1"/>
        <v>-1.0746731664081577E-2</v>
      </c>
      <c r="X25" s="12">
        <f ca="1"/>
        <v>-1.5012455749311648E-2</v>
      </c>
      <c r="Y25" s="12">
        <f ca="1"/>
        <v>-4.7099986542862293E-3</v>
      </c>
      <c r="Z25" s="12">
        <f ca="1"/>
        <v>0</v>
      </c>
    </row>
    <row r="26" spans="1:26" x14ac:dyDescent="0.2">
      <c r="A26" vm="434">
        <f ca="1"/>
        <v>45994</v>
      </c>
      <c r="B26" s="13">
        <f ca="1"/>
        <v>-8.2392151923188148E-5</v>
      </c>
      <c r="C26" s="66">
        <f t="shared" ca="1" si="1"/>
        <v>0.99132854618231636</v>
      </c>
      <c r="D26" s="66">
        <f t="shared" ca="1" si="2"/>
        <v>1</v>
      </c>
      <c r="E26" s="13">
        <f t="shared" ca="1" si="0"/>
        <v>-8.6714538176836387E-3</v>
      </c>
      <c r="F26" s="13">
        <f ca="1"/>
        <v>3.4627969421743288E-3</v>
      </c>
      <c r="G26" s="67">
        <f t="shared" ca="1" si="3"/>
        <v>0.99490827623328781</v>
      </c>
      <c r="H26" s="13">
        <f ca="1"/>
        <v>2.4437299035369175E-3</v>
      </c>
      <c r="I26" s="67">
        <f t="shared" ca="1" si="4"/>
        <v>0.98073202573257601</v>
      </c>
      <c r="J26" s="12">
        <f ca="1"/>
        <v>1.4556040756914301E-2</v>
      </c>
      <c r="K26" s="12">
        <f ca="1"/>
        <v>4.3798500591871514E-2</v>
      </c>
      <c r="L26" s="12">
        <f ca="1"/>
        <v>-1.1221049140456629E-2</v>
      </c>
      <c r="M26" s="12">
        <f ca="1"/>
        <v>1.388888888889106E-4</v>
      </c>
      <c r="N26" s="12">
        <f ca="1"/>
        <v>1.981038630253229E-3</v>
      </c>
      <c r="O26" s="12">
        <f ca="1"/>
        <v>-5.2493438320210251E-3</v>
      </c>
      <c r="P26" s="12">
        <f ca="1"/>
        <v>1.7792011386887241E-2</v>
      </c>
      <c r="Q26" s="12">
        <f ca="1"/>
        <v>-2.5040816326530546E-2</v>
      </c>
      <c r="R26" s="12">
        <f ca="1"/>
        <v>-7.1281316607848533E-3</v>
      </c>
      <c r="S26" s="12">
        <f ca="1"/>
        <v>-2.5159210629766005E-3</v>
      </c>
      <c r="T26" s="12">
        <f ca="1"/>
        <v>2.1544267966661312E-2</v>
      </c>
      <c r="U26" s="12">
        <f ca="1"/>
        <v>2.4944958406991624E-4</v>
      </c>
      <c r="V26" s="12">
        <f ca="1"/>
        <v>-8.7023291528026681E-3</v>
      </c>
      <c r="W26" s="12">
        <f ca="1"/>
        <v>2.8222645313024985E-2</v>
      </c>
      <c r="X26" s="12">
        <f ca="1"/>
        <v>8.9184692179700154E-3</v>
      </c>
      <c r="Y26" s="12">
        <f ca="1"/>
        <v>1.5684153596538852E-2</v>
      </c>
      <c r="Z26" s="12">
        <f ca="1"/>
        <v>0</v>
      </c>
    </row>
    <row r="27" spans="1:26" x14ac:dyDescent="0.2">
      <c r="A27" vm="449">
        <f ca="1"/>
        <v>45995</v>
      </c>
      <c r="B27" s="13">
        <f ca="1"/>
        <v>4.0422575125737106E-4</v>
      </c>
      <c r="C27" s="66">
        <f t="shared" ca="1" si="1"/>
        <v>0.9917292667086397</v>
      </c>
      <c r="D27" s="66">
        <f t="shared" ca="1" si="2"/>
        <v>1</v>
      </c>
      <c r="E27" s="13">
        <f t="shared" ca="1" si="0"/>
        <v>-8.2707332913602993E-3</v>
      </c>
      <c r="F27" s="13">
        <f ca="1"/>
        <v>7.3111172849427142E-4</v>
      </c>
      <c r="G27" s="67">
        <f t="shared" ca="1" si="3"/>
        <v>0.995635665342818</v>
      </c>
      <c r="H27" s="13">
        <f ca="1"/>
        <v>-9.3020272004096238E-4</v>
      </c>
      <c r="I27" s="67">
        <f t="shared" ca="1" si="4"/>
        <v>0.97981974613460832</v>
      </c>
      <c r="J27" s="12">
        <f ca="1"/>
        <v>-6.9552741563221332E-3</v>
      </c>
      <c r="K27" s="12">
        <f ca="1"/>
        <v>8.0519153225806495E-2</v>
      </c>
      <c r="L27" s="12">
        <f ca="1"/>
        <v>2.0460644007155526E-2</v>
      </c>
      <c r="M27" s="12">
        <f ca="1"/>
        <v>-4.1660880433275205E-3</v>
      </c>
      <c r="N27" s="12">
        <f ca="1"/>
        <v>-5.0840276797062822E-3</v>
      </c>
      <c r="O27" s="12">
        <f ca="1"/>
        <v>7.9155672823219003E-3</v>
      </c>
      <c r="P27" s="12">
        <f ca="1"/>
        <v>3.7584127261602873E-3</v>
      </c>
      <c r="Q27" s="12">
        <f ca="1"/>
        <v>6.5099533209134197E-3</v>
      </c>
      <c r="R27" s="12">
        <f ca="1"/>
        <v>-1.2141474573288735E-2</v>
      </c>
      <c r="S27" s="12">
        <f ca="1"/>
        <v>1.1034917632219976E-3</v>
      </c>
      <c r="T27" s="12">
        <f ca="1"/>
        <v>1.5240147783251334E-2</v>
      </c>
      <c r="U27" s="12">
        <f ca="1"/>
        <v>-2.8630754884739651E-2</v>
      </c>
      <c r="V27" s="12">
        <f ca="1"/>
        <v>-1.4071778982700622E-2</v>
      </c>
      <c r="W27" s="12">
        <f ca="1"/>
        <v>1.4268598191918169E-2</v>
      </c>
      <c r="X27" s="12">
        <f ca="1"/>
        <v>4.4198166105942072E-3</v>
      </c>
      <c r="Y27" s="12">
        <f ca="1"/>
        <v>-8.2534611288604953E-3</v>
      </c>
      <c r="Z27" s="12">
        <f ca="1"/>
        <v>0</v>
      </c>
    </row>
    <row r="28" spans="1:26" x14ac:dyDescent="0.2">
      <c r="A28" vm="466">
        <f ca="1"/>
        <v>45996</v>
      </c>
      <c r="B28" s="13">
        <f ca="1"/>
        <v>1.5526384876358296E-3</v>
      </c>
      <c r="C28" s="66">
        <f t="shared" ca="1" si="1"/>
        <v>0.99326906373744639</v>
      </c>
      <c r="D28" s="66">
        <f t="shared" ca="1" si="2"/>
        <v>1</v>
      </c>
      <c r="E28" s="13">
        <f t="shared" ca="1" si="0"/>
        <v>-6.7309362625536107E-3</v>
      </c>
      <c r="F28" s="13">
        <f ca="1"/>
        <v>1.8995017460805563E-3</v>
      </c>
      <c r="G28" s="67">
        <f t="shared" ca="1" si="3"/>
        <v>0.99752687702759679</v>
      </c>
      <c r="H28" s="13">
        <f ca="1"/>
        <v>4.0774392397340264E-3</v>
      </c>
      <c r="I28" s="67">
        <f t="shared" ca="1" si="4"/>
        <v>0.98381490161536378</v>
      </c>
      <c r="J28" s="12">
        <f ca="1"/>
        <v>1.1620967995225939E-2</v>
      </c>
      <c r="K28" s="12">
        <f ca="1"/>
        <v>2.9737609329446135E-2</v>
      </c>
      <c r="L28" s="12">
        <f ca="1"/>
        <v>3.549906869727204E-2</v>
      </c>
      <c r="M28" s="12">
        <f ca="1"/>
        <v>-9.9009900990097988E-3</v>
      </c>
      <c r="N28" s="12">
        <f ca="1"/>
        <v>-6.3875088715401596E-3</v>
      </c>
      <c r="O28" s="12">
        <f ca="1"/>
        <v>1.3089005235602524E-3</v>
      </c>
      <c r="P28" s="12">
        <f ca="1"/>
        <v>2.3510971786833146E-3</v>
      </c>
      <c r="Q28" s="12">
        <f ca="1"/>
        <v>4.8248897762250831E-3</v>
      </c>
      <c r="R28" s="12">
        <f ca="1"/>
        <v>-6.8400427502672834E-3</v>
      </c>
      <c r="S28" s="12">
        <f ca="1"/>
        <v>2.4171325092512408E-2</v>
      </c>
      <c r="T28" s="12">
        <f ca="1"/>
        <v>-2.1986353297953065E-2</v>
      </c>
      <c r="U28" s="12">
        <f ca="1"/>
        <v>-1.3115961846504876E-3</v>
      </c>
      <c r="V28" s="12">
        <f ca="1"/>
        <v>1.8331805682858526E-3</v>
      </c>
      <c r="W28" s="12">
        <f ca="1"/>
        <v>6.1211340206184239E-3</v>
      </c>
      <c r="X28" s="12">
        <f ca="1"/>
        <v>-1.4843031656377237E-2</v>
      </c>
      <c r="Y28" s="12">
        <f ca="1"/>
        <v>-1.9999999999999907E-2</v>
      </c>
      <c r="Z28" s="12">
        <f ca="1"/>
        <v>0</v>
      </c>
    </row>
    <row r="29" spans="1:26" x14ac:dyDescent="0.2">
      <c r="A29" vm="483">
        <f ca="1"/>
        <v>45999</v>
      </c>
      <c r="B29" s="13">
        <f ca="1"/>
        <v>-1.7876540445982514E-3</v>
      </c>
      <c r="C29" s="66">
        <f t="shared" ca="1" si="1"/>
        <v>0.99149344227828184</v>
      </c>
      <c r="D29" s="66">
        <f t="shared" ca="1" si="2"/>
        <v>1</v>
      </c>
      <c r="E29" s="13">
        <f t="shared" ca="1" si="0"/>
        <v>-8.5065577217181554E-3</v>
      </c>
      <c r="F29" s="13">
        <f ca="1"/>
        <v>-3.0042730680045482E-3</v>
      </c>
      <c r="G29" s="67">
        <f t="shared" ca="1" si="3"/>
        <v>0.9945300338963321</v>
      </c>
      <c r="H29" s="13">
        <f ca="1"/>
        <v>-1.9185265715930822E-3</v>
      </c>
      <c r="I29" s="67">
        <f t="shared" ca="1" si="4"/>
        <v>0.98192742658508547</v>
      </c>
      <c r="J29" s="12">
        <f ca="1"/>
        <v>-2.3720078239001463E-2</v>
      </c>
      <c r="K29" s="12">
        <f ca="1"/>
        <v>-2.3329558323895827E-2</v>
      </c>
      <c r="L29" s="12">
        <f ca="1"/>
        <v>-1.8040419003280017E-2</v>
      </c>
      <c r="M29" s="12">
        <f ca="1"/>
        <v>2.8169014084511446E-4</v>
      </c>
      <c r="N29" s="12">
        <f ca="1"/>
        <v>3.5714285714285587E-3</v>
      </c>
      <c r="O29" s="12">
        <f ca="1"/>
        <v>0</v>
      </c>
      <c r="P29" s="12">
        <f ca="1"/>
        <v>-1.3465380939970406E-2</v>
      </c>
      <c r="Q29" s="12">
        <f ca="1"/>
        <v>1.6267902972100234E-2</v>
      </c>
      <c r="R29" s="12">
        <f ca="1"/>
        <v>-3.192481526651747E-3</v>
      </c>
      <c r="S29" s="12">
        <f ca="1"/>
        <v>2.7829028290282887E-2</v>
      </c>
      <c r="T29" s="12">
        <f ca="1"/>
        <v>2.0310077519379854E-2</v>
      </c>
      <c r="U29" s="12">
        <f ca="1"/>
        <v>-8.0028613582510122E-3</v>
      </c>
      <c r="V29" s="12">
        <f ca="1"/>
        <v>-1.1501764475232101E-2</v>
      </c>
      <c r="W29" s="12">
        <f ca="1"/>
        <v>-8.6455331412104153E-3</v>
      </c>
      <c r="X29" s="12">
        <f ca="1"/>
        <v>-8.599999999999941E-3</v>
      </c>
      <c r="Y29" s="12">
        <f ca="1"/>
        <v>-4.2459936994933001E-3</v>
      </c>
      <c r="Z29" s="12">
        <f ca="1"/>
        <v>0</v>
      </c>
    </row>
    <row r="30" spans="1:26" x14ac:dyDescent="0.2">
      <c r="A30" vm="498">
        <f ca="1"/>
        <v>46000</v>
      </c>
      <c r="B30" s="13">
        <f ca="1"/>
        <v>6.0560587886962524E-4</v>
      </c>
      <c r="C30" s="66">
        <f t="shared" ca="1" si="1"/>
        <v>0.99209389653578639</v>
      </c>
      <c r="D30" s="66">
        <f t="shared" ca="1" si="2"/>
        <v>1</v>
      </c>
      <c r="E30" s="13">
        <f t="shared" ca="1" si="0"/>
        <v>-7.9061034642136097E-3</v>
      </c>
      <c r="F30" s="13">
        <f ca="1"/>
        <v>-8.630399485102247E-4</v>
      </c>
      <c r="G30" s="67">
        <f t="shared" ca="1" si="3"/>
        <v>0.99367171474708638</v>
      </c>
      <c r="H30" s="13">
        <f ca="1"/>
        <v>1.2334209008777464E-3</v>
      </c>
      <c r="I30" s="67">
        <f t="shared" ca="1" si="4"/>
        <v>0.98313855639618064</v>
      </c>
      <c r="J30" s="12">
        <f ca="1"/>
        <v>1.0494514231197405E-2</v>
      </c>
      <c r="K30" s="12">
        <f ca="1"/>
        <v>5.1252319109462041E-2</v>
      </c>
      <c r="L30" s="12">
        <f ca="1"/>
        <v>-3.895264263778897E-2</v>
      </c>
      <c r="M30" s="12">
        <f ca="1"/>
        <v>-3.2385243593352486E-3</v>
      </c>
      <c r="N30" s="12">
        <f ca="1"/>
        <v>-2.27758007117429E-3</v>
      </c>
      <c r="O30" s="12">
        <f ca="1"/>
        <v>0</v>
      </c>
      <c r="P30" s="12">
        <f ca="1"/>
        <v>1.3208876364917188E-2</v>
      </c>
      <c r="Q30" s="12">
        <f ca="1"/>
        <v>2.0365769215102691E-3</v>
      </c>
      <c r="R30" s="12">
        <f ca="1"/>
        <v>-2.5549677930115644E-3</v>
      </c>
      <c r="S30" s="12">
        <f ca="1"/>
        <v>1.2939416604338172E-2</v>
      </c>
      <c r="T30" s="12">
        <f ca="1"/>
        <v>-3.7988147697918251E-3</v>
      </c>
      <c r="U30" s="12">
        <f ca="1"/>
        <v>1.036596358392039E-3</v>
      </c>
      <c r="V30" s="12">
        <f ca="1"/>
        <v>4.5396447617789271E-3</v>
      </c>
      <c r="W30" s="12">
        <f ca="1"/>
        <v>5.9216192937123768E-3</v>
      </c>
      <c r="X30" s="12">
        <f ca="1"/>
        <v>-1.4793894156411858E-3</v>
      </c>
      <c r="Y30" s="12">
        <f ca="1"/>
        <v>-2.0632737276479185E-3</v>
      </c>
      <c r="Z30" s="12">
        <f ca="1"/>
        <v>0</v>
      </c>
    </row>
    <row r="31" spans="1:26" x14ac:dyDescent="0.2">
      <c r="A31" vm="514">
        <f ca="1"/>
        <v>46001</v>
      </c>
      <c r="B31" s="13">
        <f ca="1"/>
        <v>6.9843660997015817E-3</v>
      </c>
      <c r="C31" s="66">
        <f t="shared" ca="1" si="1"/>
        <v>0.9990230435144718</v>
      </c>
      <c r="D31" s="66">
        <f t="shared" ca="1" si="2"/>
        <v>1</v>
      </c>
      <c r="E31" s="13">
        <f t="shared" ca="1" si="0"/>
        <v>-9.7695648552820202E-4</v>
      </c>
      <c r="F31" s="13">
        <f ca="1"/>
        <v>6.6321152494730473E-3</v>
      </c>
      <c r="G31" s="67">
        <f t="shared" ca="1" si="3"/>
        <v>1.0002618600794306</v>
      </c>
      <c r="H31" s="13">
        <f ca="1"/>
        <v>4.0956723462124422E-3</v>
      </c>
      <c r="I31" s="67">
        <f t="shared" ca="1" si="4"/>
        <v>0.98716516979410773</v>
      </c>
      <c r="J31" s="12">
        <f ca="1"/>
        <v>1.0228166797797034E-2</v>
      </c>
      <c r="K31" s="12">
        <f ca="1"/>
        <v>-2.7575557026251918E-2</v>
      </c>
      <c r="L31" s="12">
        <f ca="1"/>
        <v>1.9284673169637889E-2</v>
      </c>
      <c r="M31" s="12">
        <f ca="1"/>
        <v>4.6475490888543414E-2</v>
      </c>
      <c r="N31" s="12">
        <f ca="1"/>
        <v>1.7120844628333298E-3</v>
      </c>
      <c r="O31" s="12">
        <f ca="1"/>
        <v>-6.4516129032258229E-3</v>
      </c>
      <c r="P31" s="12">
        <f ca="1"/>
        <v>-1.6339301234138626E-2</v>
      </c>
      <c r="Q31" s="12">
        <f ca="1"/>
        <v>-2.735661151985691E-2</v>
      </c>
      <c r="R31" s="12">
        <f ca="1"/>
        <v>5.7724222526875923E-3</v>
      </c>
      <c r="S31" s="12">
        <f ca="1"/>
        <v>1.6441458071820625E-2</v>
      </c>
      <c r="T31" s="12">
        <f ca="1"/>
        <v>1.6931055521659522E-2</v>
      </c>
      <c r="U31" s="12">
        <f ca="1"/>
        <v>-1.5791724821034747E-2</v>
      </c>
      <c r="V31" s="12">
        <f ca="1"/>
        <v>1.6935766935767038E-2</v>
      </c>
      <c r="W31" s="12">
        <f ca="1"/>
        <v>3.6069784865674803E-2</v>
      </c>
      <c r="X31" s="12">
        <f ca="1"/>
        <v>1.9664623880395915E-2</v>
      </c>
      <c r="Y31" s="12">
        <f ca="1"/>
        <v>4.5485871812542822E-3</v>
      </c>
      <c r="Z31" s="12">
        <f ca="1"/>
        <v>0</v>
      </c>
    </row>
    <row r="32" spans="1:26" x14ac:dyDescent="0.2">
      <c r="A32" vm="529">
        <f ca="1"/>
        <v>46002</v>
      </c>
      <c r="B32" s="13">
        <f ca="1"/>
        <v>-7.1083453728324082E-4</v>
      </c>
      <c r="C32" s="66">
        <f t="shared" ca="1" si="1"/>
        <v>0.99831290343159984</v>
      </c>
      <c r="D32" s="66">
        <f t="shared" ca="1" si="2"/>
        <v>1</v>
      </c>
      <c r="E32" s="13">
        <f t="shared" ca="1" si="0"/>
        <v>-1.6870965684001593E-3</v>
      </c>
      <c r="F32" s="13">
        <f ca="1"/>
        <v>2.3270357927192009E-3</v>
      </c>
      <c r="G32" s="67">
        <f t="shared" ca="1" si="3"/>
        <v>1.0025895052299274</v>
      </c>
      <c r="H32" s="13">
        <f ca="1"/>
        <v>-3.2344927582415028E-3</v>
      </c>
      <c r="I32" s="67">
        <f t="shared" ca="1" si="4"/>
        <v>0.98397219120122048</v>
      </c>
      <c r="J32" s="12">
        <f ca="1"/>
        <v>-2.2741433021806867E-2</v>
      </c>
      <c r="K32" s="12">
        <f ca="1"/>
        <v>-8.8475499092559584E-3</v>
      </c>
      <c r="L32" s="12">
        <f ca="1"/>
        <v>-1.7379826201737947E-2</v>
      </c>
      <c r="M32" s="12">
        <f ca="1"/>
        <v>1.5658747300215881E-2</v>
      </c>
      <c r="N32" s="12">
        <f ca="1"/>
        <v>-1.5667283862697556E-2</v>
      </c>
      <c r="O32" s="12">
        <f ca="1"/>
        <v>1.4285714285714235E-2</v>
      </c>
      <c r="P32" s="12">
        <f ca="1"/>
        <v>2.0675030924191429E-2</v>
      </c>
      <c r="Q32" s="12">
        <f ca="1"/>
        <v>1.0259946506185225E-2</v>
      </c>
      <c r="R32" s="12">
        <f ca="1"/>
        <v>-2.6902934213358654E-3</v>
      </c>
      <c r="S32" s="12">
        <f ca="1"/>
        <v>-1.5981790444826505E-2</v>
      </c>
      <c r="T32" s="12">
        <f ca="1"/>
        <v>-9.1495425228738103E-3</v>
      </c>
      <c r="U32" s="12">
        <f ca="1"/>
        <v>1.1516336729909371E-2</v>
      </c>
      <c r="V32" s="12">
        <f ca="1"/>
        <v>-6.4716541548019979E-3</v>
      </c>
      <c r="W32" s="12">
        <f ca="1"/>
        <v>-9.2975206611578542E-4</v>
      </c>
      <c r="X32" s="12">
        <f ca="1"/>
        <v>-4.5571626708935664E-3</v>
      </c>
      <c r="Y32" s="12">
        <f ca="1"/>
        <v>-2.7442371020847123E-4</v>
      </c>
      <c r="Z32" s="12">
        <f ca="1"/>
        <v>0</v>
      </c>
    </row>
    <row r="33" spans="1:26" x14ac:dyDescent="0.2">
      <c r="A33" vm="546">
        <f ca="1"/>
        <v>46003</v>
      </c>
      <c r="B33" s="13">
        <f ca="1"/>
        <v>-1.7386242307931277E-2</v>
      </c>
      <c r="C33" s="66">
        <f t="shared" ca="1" si="1"/>
        <v>0.98095599339340367</v>
      </c>
      <c r="D33" s="66">
        <f t="shared" ca="1" si="2"/>
        <v>1</v>
      </c>
      <c r="E33" s="13">
        <f t="shared" ca="1" si="0"/>
        <v>-1.9044006606596331E-2</v>
      </c>
      <c r="F33" s="13">
        <f ca="1"/>
        <v>-1.0752064077078183E-2</v>
      </c>
      <c r="G33" s="67">
        <f t="shared" ca="1" si="3"/>
        <v>0.99180959862668916</v>
      </c>
      <c r="H33" s="13">
        <f ca="1"/>
        <v>-1.9118258256338172E-2</v>
      </c>
      <c r="I33" s="67">
        <f t="shared" ca="1" si="4"/>
        <v>0.96516035673278056</v>
      </c>
      <c r="J33" s="12">
        <f ca="1"/>
        <v>-1.0137073637233041E-2</v>
      </c>
      <c r="K33" s="12">
        <f ca="1"/>
        <v>-0.10059510185397103</v>
      </c>
      <c r="L33" s="12">
        <f ca="1"/>
        <v>-9.7335721482144755E-2</v>
      </c>
      <c r="M33" s="12">
        <f ca="1"/>
        <v>-3.3227006911217272E-3</v>
      </c>
      <c r="N33" s="12">
        <f ca="1"/>
        <v>2.0402257271017188E-2</v>
      </c>
      <c r="O33" s="12">
        <f ca="1"/>
        <v>-2.5608194622278591E-3</v>
      </c>
      <c r="P33" s="12">
        <f ca="1"/>
        <v>1.0214681440443352E-2</v>
      </c>
      <c r="Q33" s="12">
        <f ca="1"/>
        <v>-1.0217800484001227E-2</v>
      </c>
      <c r="R33" s="12">
        <f ca="1"/>
        <v>8.9918354134455036E-4</v>
      </c>
      <c r="S33" s="12">
        <f ca="1"/>
        <v>-0.1142800895735413</v>
      </c>
      <c r="T33" s="12">
        <f ca="1"/>
        <v>-2.8913109294580686E-2</v>
      </c>
      <c r="U33" s="12">
        <f ca="1"/>
        <v>-1.1306078147588217E-5</v>
      </c>
      <c r="V33" s="12">
        <f ca="1"/>
        <v>-1.776098662497827E-2</v>
      </c>
      <c r="W33" s="12">
        <f ca="1"/>
        <v>-1.2098025023265291E-2</v>
      </c>
      <c r="X33" s="12">
        <f ca="1"/>
        <v>-4.8434182590232355E-3</v>
      </c>
      <c r="Y33" s="12">
        <f ca="1"/>
        <v>-7.2742245402140915E-3</v>
      </c>
      <c r="Z33" s="12">
        <f ca="1"/>
        <v>0</v>
      </c>
    </row>
    <row r="34" spans="1:26" x14ac:dyDescent="0.2">
      <c r="A34" vm="562">
        <f ca="1"/>
        <v>46006</v>
      </c>
      <c r="B34" s="13">
        <f ca="1"/>
        <v>-1.4549417113251788E-2</v>
      </c>
      <c r="C34" s="66">
        <f t="shared" ca="1" si="1"/>
        <v>0.96668365547577884</v>
      </c>
      <c r="D34" s="66">
        <f t="shared" ca="1" si="2"/>
        <v>1</v>
      </c>
      <c r="E34" s="13">
        <f t="shared" ca="1" si="0"/>
        <v>-3.3316344524221164E-2</v>
      </c>
      <c r="F34" s="13">
        <f ca="1"/>
        <v>-1.5107955878901347E-3</v>
      </c>
      <c r="G34" s="67">
        <f t="shared" ca="1" si="3"/>
        <v>0.99031117706105687</v>
      </c>
      <c r="H34" s="13">
        <f ca="1"/>
        <v>-5.0193931097421984E-3</v>
      </c>
      <c r="I34" s="67">
        <f t="shared" ca="1" si="4"/>
        <v>0.96031583748839966</v>
      </c>
      <c r="J34" s="12">
        <f ca="1"/>
        <v>-3.8644853793635692E-3</v>
      </c>
      <c r="K34" s="12">
        <f ca="1"/>
        <v>-7.9399414683802072E-2</v>
      </c>
      <c r="L34" s="12">
        <f ca="1"/>
        <v>2.9143672102684981E-3</v>
      </c>
      <c r="M34" s="12">
        <f ca="1"/>
        <v>3.8671822909721598E-3</v>
      </c>
      <c r="N34" s="12">
        <f ca="1"/>
        <v>6.3811684628474197E-3</v>
      </c>
      <c r="O34" s="12">
        <f ca="1"/>
        <v>-6.1617458279845994E-2</v>
      </c>
      <c r="P34" s="12">
        <f ca="1"/>
        <v>7.712082262210096E-4</v>
      </c>
      <c r="Q34" s="12">
        <f ca="1"/>
        <v>-7.7529099533989454E-3</v>
      </c>
      <c r="R34" s="12">
        <f ca="1"/>
        <v>-1.4984907287623805E-2</v>
      </c>
      <c r="S34" s="12">
        <f ca="1"/>
        <v>-5.5899758286333423E-2</v>
      </c>
      <c r="T34" s="12">
        <f ca="1"/>
        <v>-1.9953234606391423E-2</v>
      </c>
      <c r="U34" s="12">
        <f ca="1"/>
        <v>-2.7033138489717112E-2</v>
      </c>
      <c r="V34" s="12">
        <f ca="1"/>
        <v>-1.6136876077633922E-2</v>
      </c>
      <c r="W34" s="12">
        <f ca="1"/>
        <v>-1.2350847812434673E-2</v>
      </c>
      <c r="X34" s="12">
        <f ca="1"/>
        <v>-1.2667511167411272E-3</v>
      </c>
      <c r="Y34" s="12">
        <f ca="1"/>
        <v>-1.3825521913451988E-3</v>
      </c>
      <c r="Z34" s="12">
        <f ca="1"/>
        <v>0</v>
      </c>
    </row>
    <row r="35" spans="1:26" x14ac:dyDescent="0.2">
      <c r="A35" vm="579">
        <f ca="1"/>
        <v>46007</v>
      </c>
      <c r="B35" s="13">
        <f ca="1"/>
        <v>-4.0152708000587185E-3</v>
      </c>
      <c r="C35" s="66">
        <f t="shared" ca="1" si="1"/>
        <v>0.96280215882105291</v>
      </c>
      <c r="D35" s="66">
        <f t="shared" ca="1" si="2"/>
        <v>1</v>
      </c>
      <c r="E35" s="13">
        <f t="shared" ca="1" si="0"/>
        <v>-3.7197841178947089E-2</v>
      </c>
      <c r="F35" s="13">
        <f ca="1"/>
        <v>-2.7323608479132844E-3</v>
      </c>
      <c r="G35" s="67">
        <f t="shared" ca="1" si="3"/>
        <v>0.98760528957360427</v>
      </c>
      <c r="H35" s="13">
        <f ca="1"/>
        <v>1.9818521309005188E-3</v>
      </c>
      <c r="I35" s="67">
        <f t="shared" ca="1" si="4"/>
        <v>0.96221904147726356</v>
      </c>
      <c r="J35" s="12">
        <f ca="1"/>
        <v>-5.1403077718866763E-3</v>
      </c>
      <c r="K35" s="12">
        <f ca="1"/>
        <v>-3.9391845196959152E-2</v>
      </c>
      <c r="L35" s="12">
        <f ca="1"/>
        <v>-6.6773834549277433E-3</v>
      </c>
      <c r="M35" s="12">
        <f ca="1"/>
        <v>-8.2359192348565591E-3</v>
      </c>
      <c r="N35" s="12">
        <f ca="1"/>
        <v>-8.4542764548399818E-3</v>
      </c>
      <c r="O35" s="12">
        <f ca="1"/>
        <v>2.4623803009576006E-2</v>
      </c>
      <c r="P35" s="12">
        <f ca="1"/>
        <v>-1.1730456374689613E-2</v>
      </c>
      <c r="Q35" s="12">
        <f ca="1"/>
        <v>3.306516153489758E-3</v>
      </c>
      <c r="R35" s="12">
        <f ca="1"/>
        <v>1.8240852212614289E-3</v>
      </c>
      <c r="S35" s="12">
        <f ca="1"/>
        <v>4.3848032724169705E-3</v>
      </c>
      <c r="T35" s="12">
        <f ca="1"/>
        <v>3.0221091140449907E-3</v>
      </c>
      <c r="U35" s="12">
        <f ca="1"/>
        <v>-1.9754578414055146E-4</v>
      </c>
      <c r="V35" s="12">
        <f ca="1"/>
        <v>8.9871483778258821E-5</v>
      </c>
      <c r="W35" s="12">
        <f ca="1"/>
        <v>-3.8045782111064019E-2</v>
      </c>
      <c r="X35" s="12">
        <f ca="1"/>
        <v>-2.0360480640854495E-2</v>
      </c>
      <c r="Y35" s="12">
        <f ca="1"/>
        <v>-2.4505053301952184E-2</v>
      </c>
      <c r="Z35" s="12">
        <f ca="1"/>
        <v>0</v>
      </c>
    </row>
    <row r="36" spans="1:26" x14ac:dyDescent="0.2">
      <c r="A36" vm="594">
        <f ca="1"/>
        <v>46008</v>
      </c>
      <c r="B36" s="13">
        <f ca="1"/>
        <v>-6.5211976312859361E-3</v>
      </c>
      <c r="C36" s="66">
        <f t="shared" ca="1" si="1"/>
        <v>0.95652353566355208</v>
      </c>
      <c r="D36" s="66">
        <f t="shared" ca="1" si="2"/>
        <v>1</v>
      </c>
      <c r="E36" s="13">
        <f t="shared" ca="1" si="0"/>
        <v>-4.3476464336447918E-2</v>
      </c>
      <c r="F36" s="13">
        <f ca="1"/>
        <v>-1.1003579477661396E-2</v>
      </c>
      <c r="G36" s="67">
        <f t="shared" ca="1" si="3"/>
        <v>0.9767380962772223</v>
      </c>
      <c r="H36" s="13">
        <f ca="1"/>
        <v>-1.8536984062116901E-2</v>
      </c>
      <c r="I36" s="67">
        <f t="shared" ca="1" si="4"/>
        <v>0.94438240244113414</v>
      </c>
      <c r="J36" s="12">
        <f ca="1"/>
        <v>-3.1423650602801168E-2</v>
      </c>
      <c r="K36" s="12">
        <f ca="1"/>
        <v>-7.1223021582733859E-2</v>
      </c>
      <c r="L36" s="12">
        <f ca="1"/>
        <v>-6.7409436076185658E-2</v>
      </c>
      <c r="M36" s="12">
        <f ca="1"/>
        <v>1.9287436378248035E-2</v>
      </c>
      <c r="N36" s="12">
        <f ca="1"/>
        <v>4.2631803325279272E-3</v>
      </c>
      <c r="O36" s="12">
        <f ca="1"/>
        <v>-8.0106809078772656E-3</v>
      </c>
      <c r="P36" s="12">
        <f ca="1"/>
        <v>2.0793623288857255E-3</v>
      </c>
      <c r="Q36" s="12">
        <f ca="1"/>
        <v>-5.6676252650134096E-4</v>
      </c>
      <c r="R36" s="12">
        <f ca="1"/>
        <v>-1.0087032518845018E-2</v>
      </c>
      <c r="S36" s="12">
        <f ca="1"/>
        <v>-4.476999707002649E-2</v>
      </c>
      <c r="T36" s="12">
        <f ca="1"/>
        <v>-9.6733269901680963E-3</v>
      </c>
      <c r="U36" s="12">
        <f ca="1"/>
        <v>2.6267157916759487E-3</v>
      </c>
      <c r="V36" s="12">
        <f ca="1"/>
        <v>-5.7961897915168592E-3</v>
      </c>
      <c r="W36" s="12">
        <f ca="1"/>
        <v>4.6160625757408758E-2</v>
      </c>
      <c r="X36" s="12">
        <f ca="1"/>
        <v>1.8875638841567399E-2</v>
      </c>
      <c r="Y36" s="12">
        <f ca="1"/>
        <v>1.5469770082316314E-2</v>
      </c>
      <c r="Z36" s="12">
        <f ca="1"/>
        <v>0</v>
      </c>
    </row>
    <row r="37" spans="1:26" x14ac:dyDescent="0.2">
      <c r="A37" vm="610">
        <f ca="1"/>
        <v>46009</v>
      </c>
      <c r="B37" s="13">
        <f ca="1"/>
        <v>4.870577539669501E-3</v>
      </c>
      <c r="C37" s="66">
        <f t="shared" ca="1" si="1"/>
        <v>0.96118235771252036</v>
      </c>
      <c r="D37" s="66">
        <f t="shared" ca="1" si="2"/>
        <v>1</v>
      </c>
      <c r="E37" s="13">
        <f t="shared" ca="1" si="0"/>
        <v>-3.8817642287479637E-2</v>
      </c>
      <c r="F37" s="13">
        <f ca="1"/>
        <v>7.5513851653261632E-3</v>
      </c>
      <c r="G37" s="67">
        <f t="shared" ca="1" si="3"/>
        <v>0.984113821847859</v>
      </c>
      <c r="H37" s="13">
        <f ca="1"/>
        <v>1.449009843273763E-2</v>
      </c>
      <c r="I37" s="67">
        <f t="shared" ca="1" si="4"/>
        <v>0.95806659641065139</v>
      </c>
      <c r="J37" s="12">
        <f ca="1"/>
        <v>1.9090116084010011E-2</v>
      </c>
      <c r="K37" s="12">
        <f ca="1"/>
        <v>4.8489542989930356E-2</v>
      </c>
      <c r="L37" s="12">
        <f ca="1"/>
        <v>3.0434492424747939E-2</v>
      </c>
      <c r="M37" s="12">
        <f ca="1"/>
        <v>8.6727989487518364E-3</v>
      </c>
      <c r="N37" s="12">
        <f ca="1"/>
        <v>-4.3865855384180863E-3</v>
      </c>
      <c r="O37" s="12">
        <f ca="1"/>
        <v>-2.5572005383580065E-2</v>
      </c>
      <c r="P37" s="12">
        <f ca="1"/>
        <v>-7.1762061213902495E-3</v>
      </c>
      <c r="Q37" s="12">
        <f ca="1"/>
        <v>1.650844324960099E-2</v>
      </c>
      <c r="R37" s="12">
        <f ca="1"/>
        <v>1.2875220718069347E-3</v>
      </c>
      <c r="S37" s="12">
        <f ca="1"/>
        <v>1.1839764431629929E-2</v>
      </c>
      <c r="T37" s="12">
        <f ca="1"/>
        <v>7.8462770216172206E-3</v>
      </c>
      <c r="U37" s="12">
        <f ca="1"/>
        <v>-5.8656465542223923E-3</v>
      </c>
      <c r="V37" s="12">
        <f ca="1"/>
        <v>2.4811316491164526E-2</v>
      </c>
      <c r="W37" s="12">
        <f ca="1"/>
        <v>-2.8748946925020946E-2</v>
      </c>
      <c r="X37" s="12">
        <f ca="1"/>
        <v>-1.2239165329053003E-2</v>
      </c>
      <c r="Y37" s="12">
        <f ca="1"/>
        <v>-3.3542976939202607E-3</v>
      </c>
      <c r="Z37" s="12">
        <f ca="1"/>
        <v>0</v>
      </c>
    </row>
    <row r="38" spans="1:26" x14ac:dyDescent="0.2">
      <c r="A38" vm="626">
        <f ca="1"/>
        <v>46010</v>
      </c>
      <c r="B38" s="13">
        <f ca="1"/>
        <v>1.5318259579543216E-2</v>
      </c>
      <c r="C38" s="66">
        <f t="shared" ca="1" si="1"/>
        <v>0.97590599857123805</v>
      </c>
      <c r="D38" s="66">
        <f t="shared" ca="1" si="2"/>
        <v>1</v>
      </c>
      <c r="E38" s="13">
        <f t="shared" ca="1" si="0"/>
        <v>-2.4094001428761946E-2</v>
      </c>
      <c r="F38" s="13">
        <f ca="1"/>
        <v>6.0904400786434554E-3</v>
      </c>
      <c r="G38" s="67">
        <f t="shared" ca="1" si="3"/>
        <v>0.99010750811038817</v>
      </c>
      <c r="H38" s="13">
        <f ca="1"/>
        <v>1.3035412322897288E-2</v>
      </c>
      <c r="I38" s="67">
        <f t="shared" ca="1" si="4"/>
        <v>0.97055538952765907</v>
      </c>
      <c r="J38" s="12">
        <f ca="1"/>
        <v>1.6000000000000014E-2</v>
      </c>
      <c r="K38" s="12">
        <f ca="1"/>
        <v>0.22635933806146569</v>
      </c>
      <c r="L38" s="12">
        <f ca="1"/>
        <v>3.5170671675626597E-2</v>
      </c>
      <c r="M38" s="12">
        <f ca="1"/>
        <v>1.5112037519541488E-2</v>
      </c>
      <c r="N38" s="12">
        <f ca="1"/>
        <v>-4.263786242183043E-3</v>
      </c>
      <c r="O38" s="12">
        <f ca="1"/>
        <v>4.4198895027624197E-2</v>
      </c>
      <c r="P38" s="12">
        <f ca="1"/>
        <v>-4.0930070539058061E-3</v>
      </c>
      <c r="Q38" s="12">
        <f ca="1"/>
        <v>4.0084301004172929E-3</v>
      </c>
      <c r="R38" s="12">
        <f ca="1"/>
        <v>5.4373783019214805E-3</v>
      </c>
      <c r="S38" s="12">
        <f ca="1"/>
        <v>3.1769128167818739E-2</v>
      </c>
      <c r="T38" s="12">
        <f ca="1"/>
        <v>2.0972354623451039E-2</v>
      </c>
      <c r="U38" s="12">
        <f ca="1"/>
        <v>-2.297134994577843E-3</v>
      </c>
      <c r="V38" s="12">
        <f ca="1"/>
        <v>2.6018698183101208E-3</v>
      </c>
      <c r="W38" s="12">
        <f ca="1"/>
        <v>-3.1443131302180127E-3</v>
      </c>
      <c r="X38" s="12">
        <f ca="1"/>
        <v>4.0625634775537378E-4</v>
      </c>
      <c r="Y38" s="12">
        <f ca="1"/>
        <v>9.956527836207929E-3</v>
      </c>
      <c r="Z38" s="12">
        <f ca="1"/>
        <v>0</v>
      </c>
    </row>
    <row r="39" spans="1:26" x14ac:dyDescent="0.2">
      <c r="A39" vm="643">
        <f ca="1"/>
        <v>46013</v>
      </c>
      <c r="B39" s="13">
        <f ca="1"/>
        <v>6.0100616291431349E-3</v>
      </c>
      <c r="C39" s="66">
        <f t="shared" ca="1" si="1"/>
        <v>0.98177125376690177</v>
      </c>
      <c r="D39" s="66">
        <f t="shared" ca="1" si="2"/>
        <v>1</v>
      </c>
      <c r="E39" s="13">
        <f t="shared" ca="1" si="0"/>
        <v>-1.8228746233098225E-2</v>
      </c>
      <c r="F39" s="13">
        <f ca="1"/>
        <v>6.2298887729763663E-3</v>
      </c>
      <c r="G39" s="67">
        <f t="shared" ca="1" si="3"/>
        <v>0.99627576775920468</v>
      </c>
      <c r="H39" s="13">
        <f ca="1"/>
        <v>3.5005266996193107E-3</v>
      </c>
      <c r="I39" s="67">
        <f t="shared" ca="1" si="4"/>
        <v>0.97395284458216003</v>
      </c>
      <c r="J39" s="12">
        <f ca="1"/>
        <v>8.8137131006771341E-3</v>
      </c>
      <c r="K39" s="12">
        <f ca="1"/>
        <v>2.2048192771084274E-2</v>
      </c>
      <c r="L39" s="12">
        <f ca="1"/>
        <v>4.0232761857089239E-2</v>
      </c>
      <c r="M39" s="12">
        <f ca="1"/>
        <v>1.0395277207392306E-2</v>
      </c>
      <c r="N39" s="12">
        <f ca="1"/>
        <v>2.1410219811588416E-3</v>
      </c>
      <c r="O39" s="12">
        <f ca="1"/>
        <v>1.7195767195767209E-2</v>
      </c>
      <c r="P39" s="12">
        <f ca="1"/>
        <v>-1.5389996502273573E-2</v>
      </c>
      <c r="Q39" s="12">
        <f ca="1"/>
        <v>-2.057951926243029E-3</v>
      </c>
      <c r="R39" s="12">
        <f ca="1"/>
        <v>-9.8658968831073501E-3</v>
      </c>
      <c r="S39" s="12">
        <f ca="1"/>
        <v>3.2024914796098258E-3</v>
      </c>
      <c r="T39" s="12">
        <f ca="1"/>
        <v>2.3887332710861964E-2</v>
      </c>
      <c r="U39" s="12">
        <f ca="1"/>
        <v>-6.568336411023612E-3</v>
      </c>
      <c r="V39" s="12">
        <f ca="1"/>
        <v>4.750384869144586E-3</v>
      </c>
      <c r="W39" s="12">
        <f ca="1"/>
        <v>1.4901022405916953E-2</v>
      </c>
      <c r="X39" s="12">
        <f ca="1"/>
        <v>1.3874788494077972E-2</v>
      </c>
      <c r="Y39" s="12">
        <f ca="1"/>
        <v>7.7756178839212264E-3</v>
      </c>
      <c r="Z39" s="12">
        <f ca="1"/>
        <v>0</v>
      </c>
    </row>
    <row r="40" spans="1:26" x14ac:dyDescent="0.2">
      <c r="A40" vm="657">
        <f ca="1"/>
        <v>46014</v>
      </c>
      <c r="B40" s="13">
        <f ca="1"/>
        <v>5.3654729624387013E-3</v>
      </c>
      <c r="C40" s="66">
        <f t="shared" ca="1" si="1"/>
        <v>0.98703892088428757</v>
      </c>
      <c r="D40" s="66">
        <f t="shared" ca="1" si="2"/>
        <v>1</v>
      </c>
      <c r="E40" s="13">
        <f t="shared" ca="1" si="0"/>
        <v>-1.2961079115712426E-2</v>
      </c>
      <c r="F40" s="13">
        <f ca="1"/>
        <v>4.570477344742585E-3</v>
      </c>
      <c r="G40" s="67">
        <f t="shared" ca="1" si="3"/>
        <v>1.0008292235848641</v>
      </c>
      <c r="H40" s="13">
        <f ca="1"/>
        <v>4.6833868962063985E-3</v>
      </c>
      <c r="I40" s="67">
        <f t="shared" ca="1" si="4"/>
        <v>0.97851424257199904</v>
      </c>
      <c r="J40" s="12">
        <f ca="1"/>
        <v>1.3972312337391157E-2</v>
      </c>
      <c r="K40" s="12">
        <f ca="1"/>
        <v>-5.3872450783920667E-2</v>
      </c>
      <c r="L40" s="12">
        <f ca="1"/>
        <v>6.0150375939871381E-5</v>
      </c>
      <c r="M40" s="12">
        <f ca="1"/>
        <v>6.9859011812523075E-3</v>
      </c>
      <c r="N40" s="12">
        <f ca="1"/>
        <v>-4.842615012106366E-3</v>
      </c>
      <c r="O40" s="12">
        <f ca="1"/>
        <v>2.3407022106632036E-2</v>
      </c>
      <c r="P40" s="12">
        <f ca="1"/>
        <v>-1.5097690941385356E-2</v>
      </c>
      <c r="Q40" s="12">
        <f ca="1"/>
        <v>3.9800379444032696E-3</v>
      </c>
      <c r="R40" s="12">
        <f ca="1"/>
        <v>5.1297191571022527E-3</v>
      </c>
      <c r="S40" s="12">
        <f ca="1"/>
        <v>2.3048762629960473E-2</v>
      </c>
      <c r="T40" s="12">
        <f ca="1"/>
        <v>2.5077893456948441E-3</v>
      </c>
      <c r="U40" s="12">
        <f ca="1"/>
        <v>5.6352941176469606E-3</v>
      </c>
      <c r="V40" s="12">
        <f ca="1"/>
        <v>1.6241299303944245E-2</v>
      </c>
      <c r="W40" s="12">
        <f ca="1"/>
        <v>-6.2158396742042488E-3</v>
      </c>
      <c r="X40" s="12">
        <f ca="1"/>
        <v>4.7396528704939378E-3</v>
      </c>
      <c r="Y40" s="12">
        <f ca="1"/>
        <v>6.7511711215209047E-3</v>
      </c>
      <c r="Z40" s="12">
        <f ca="1"/>
        <v>0</v>
      </c>
    </row>
    <row r="41" spans="1:26" x14ac:dyDescent="0.2">
      <c r="A41" vm="674">
        <f ca="1"/>
        <v>46015</v>
      </c>
      <c r="B41" s="13">
        <f ca="1"/>
        <v>2.1611054561919414E-3</v>
      </c>
      <c r="C41" s="66">
        <f t="shared" ca="1" si="1"/>
        <v>0.98917201608168437</v>
      </c>
      <c r="D41" s="66">
        <f t="shared" ca="1" si="2"/>
        <v>1</v>
      </c>
      <c r="E41" s="13">
        <f t="shared" ca="1" si="0"/>
        <v>-1.0827983918315631E-2</v>
      </c>
      <c r="F41" s="13">
        <f ca="1"/>
        <v>3.5176463747892406E-3</v>
      </c>
      <c r="G41" s="67">
        <f t="shared" ca="1" si="3"/>
        <v>1.0043497868749907</v>
      </c>
      <c r="H41" s="13">
        <f ca="1"/>
        <v>2.9255276398063579E-3</v>
      </c>
      <c r="I41" s="67">
        <f t="shared" ca="1" si="4"/>
        <v>0.98137691303458763</v>
      </c>
      <c r="J41" s="12">
        <f ca="1"/>
        <v>-3.1677648251404733E-5</v>
      </c>
      <c r="K41" s="12">
        <f ca="1"/>
        <v>-1.7318714178918504E-2</v>
      </c>
      <c r="L41" s="12">
        <f ca="1"/>
        <v>3.6689522434740773E-3</v>
      </c>
      <c r="M41" s="12">
        <f ca="1"/>
        <v>3.7840565085771605E-3</v>
      </c>
      <c r="N41" s="12">
        <f ca="1"/>
        <v>3.4349506225848092E-3</v>
      </c>
      <c r="O41" s="12">
        <f ca="1"/>
        <v>-1.2706480304954804E-3</v>
      </c>
      <c r="P41" s="12">
        <f ca="1"/>
        <v>6.4021641118123807E-3</v>
      </c>
      <c r="Q41" s="12">
        <f ca="1"/>
        <v>2.4032042723629576E-3</v>
      </c>
      <c r="R41" s="12">
        <f ca="1"/>
        <v>5.3238360992802214E-3</v>
      </c>
      <c r="S41" s="12">
        <f ca="1"/>
        <v>2.5764342150464969E-3</v>
      </c>
      <c r="T41" s="12">
        <f ca="1"/>
        <v>3.0321406913302873E-4</v>
      </c>
      <c r="U41" s="12">
        <f ca="1"/>
        <v>1.9969817148071556E-2</v>
      </c>
      <c r="V41" s="12">
        <f ca="1"/>
        <v>1.0338588782632385E-3</v>
      </c>
      <c r="W41" s="12">
        <f ca="1"/>
        <v>-1.0029116790682746E-2</v>
      </c>
      <c r="X41" s="12">
        <f ca="1"/>
        <v>-6.6440768055175958E-5</v>
      </c>
      <c r="Y41" s="12">
        <f ca="1"/>
        <v>-3.1476666210481508E-3</v>
      </c>
      <c r="Z41" s="12">
        <f ca="1"/>
        <v>0</v>
      </c>
    </row>
    <row r="42" spans="1:26" x14ac:dyDescent="0.2">
      <c r="A42" vm="690">
        <f ca="1"/>
        <v>46017</v>
      </c>
      <c r="B42" s="13">
        <f ca="1"/>
        <v>3.1000583056239417E-3</v>
      </c>
      <c r="C42" s="66">
        <f t="shared" ca="1" si="1"/>
        <v>0.99223850700582927</v>
      </c>
      <c r="D42" s="66">
        <f t="shared" ca="1" si="2"/>
        <v>1</v>
      </c>
      <c r="E42" s="13">
        <f t="shared" ca="1" si="0"/>
        <v>-7.7614929941707267E-3</v>
      </c>
      <c r="F42" s="13">
        <f ca="1"/>
        <v>-1.0139343549930846E-4</v>
      </c>
      <c r="G42" s="67">
        <f t="shared" ca="1" si="3"/>
        <v>1.0042479523996564</v>
      </c>
      <c r="H42" s="13">
        <f ca="1"/>
        <v>-6.4109755902097554E-5</v>
      </c>
      <c r="I42" s="67">
        <f t="shared" ca="1" si="4"/>
        <v>0.98131399720024504</v>
      </c>
      <c r="J42" s="12">
        <f ca="1"/>
        <v>-2.2491842747174307E-3</v>
      </c>
      <c r="K42" s="12">
        <f ca="1"/>
        <v>-3.1063775833650387E-2</v>
      </c>
      <c r="L42" s="12">
        <f ca="1"/>
        <v>4.2548091328580284E-3</v>
      </c>
      <c r="M42" s="12">
        <f ca="1"/>
        <v>4.9007288263382964E-3</v>
      </c>
      <c r="N42" s="12">
        <f ca="1"/>
        <v>-3.4231921266579812E-3</v>
      </c>
      <c r="O42" s="12">
        <f ca="1"/>
        <v>4.961832061068705E-2</v>
      </c>
      <c r="P42" s="12">
        <f ca="1"/>
        <v>1.1647701818833234E-3</v>
      </c>
      <c r="Q42" s="12">
        <f ca="1"/>
        <v>-6.3521986803816155E-4</v>
      </c>
      <c r="R42" s="12">
        <f ca="1"/>
        <v>-1.4973887001936692E-3</v>
      </c>
      <c r="S42" s="12">
        <f ca="1"/>
        <v>5.453714807835075E-3</v>
      </c>
      <c r="T42" s="12">
        <f ca="1"/>
        <v>2.7280994240677092E-3</v>
      </c>
      <c r="U42" s="12">
        <f ca="1"/>
        <v>1.7089899754547666E-3</v>
      </c>
      <c r="V42" s="12">
        <f ca="1"/>
        <v>6.0246148549802925E-4</v>
      </c>
      <c r="W42" s="12">
        <f ca="1"/>
        <v>-2.8322440087145129E-3</v>
      </c>
      <c r="X42" s="12">
        <f ca="1"/>
        <v>-3.1893687707640339E-3</v>
      </c>
      <c r="Y42" s="12">
        <f ca="1"/>
        <v>-4.118616144975773E-4</v>
      </c>
      <c r="Z42" s="12">
        <f ca="1"/>
        <v>0</v>
      </c>
    </row>
    <row r="43" spans="1:26" x14ac:dyDescent="0.2">
      <c r="A43" vm="705">
        <f ca="1"/>
        <v>46020</v>
      </c>
      <c r="B43" s="13">
        <f ca="1"/>
        <v>-5.7099673723702907E-3</v>
      </c>
      <c r="C43" s="66">
        <f t="shared" ca="1" si="1"/>
        <v>0.98657285750521662</v>
      </c>
      <c r="D43" s="66">
        <f t="shared" ca="1" si="2"/>
        <v>1</v>
      </c>
      <c r="E43" s="13">
        <f t="shared" ca="1" si="0"/>
        <v>-1.3427142494783384E-2</v>
      </c>
      <c r="F43" s="13">
        <f ca="1"/>
        <v>-3.5636163462791082E-3</v>
      </c>
      <c r="G43" s="67">
        <f t="shared" ca="1" si="3"/>
        <v>1.0006691979807676</v>
      </c>
      <c r="H43" s="13">
        <f ca="1"/>
        <v>-4.8405969000945293E-3</v>
      </c>
      <c r="I43" s="67">
        <f t="shared" ca="1" si="4"/>
        <v>0.97656385170737814</v>
      </c>
      <c r="J43" s="12">
        <f ca="1"/>
        <v>-1.8097536195071928E-3</v>
      </c>
      <c r="K43" s="12">
        <f ca="1"/>
        <v>-1.9628369536770496E-2</v>
      </c>
      <c r="L43" s="12">
        <f ca="1"/>
        <v>-1.1695906432748537E-2</v>
      </c>
      <c r="M43" s="12">
        <f ca="1"/>
        <v>-1.4005251969488652E-2</v>
      </c>
      <c r="N43" s="12">
        <f ca="1"/>
        <v>4.1505653356230798E-3</v>
      </c>
      <c r="O43" s="12">
        <f ca="1"/>
        <v>-5.0909090909090904E-2</v>
      </c>
      <c r="P43" s="12">
        <f ca="1"/>
        <v>7.0699838911760793E-3</v>
      </c>
      <c r="Q43" s="12">
        <f ca="1"/>
        <v>-1.2507432695658682E-3</v>
      </c>
      <c r="R43" s="12">
        <f ca="1"/>
        <v>1.3167520117045584E-3</v>
      </c>
      <c r="S43" s="12">
        <f ca="1"/>
        <v>-7.7812171641155059E-3</v>
      </c>
      <c r="T43" s="12">
        <f ca="1"/>
        <v>-1.2243047158403852E-2</v>
      </c>
      <c r="U43" s="12">
        <f ca="1"/>
        <v>-6.3090399038185918E-3</v>
      </c>
      <c r="V43" s="12">
        <f ca="1"/>
        <v>-1.935317392052327E-3</v>
      </c>
      <c r="W43" s="12">
        <f ca="1"/>
        <v>1.1907362901463658E-2</v>
      </c>
      <c r="X43" s="12">
        <f ca="1"/>
        <v>6.4658045593921631E-3</v>
      </c>
      <c r="Y43" s="12">
        <f ca="1"/>
        <v>4.2576569152590338E-3</v>
      </c>
      <c r="Z43" s="12">
        <f ca="1"/>
        <v>0</v>
      </c>
    </row>
    <row r="44" spans="1:26" x14ac:dyDescent="0.2">
      <c r="A44" vm="719">
        <f ca="1"/>
        <v>46021</v>
      </c>
      <c r="B44" s="13">
        <f ca="1"/>
        <v>1.5337311718684489E-3</v>
      </c>
      <c r="C44" s="66">
        <f t="shared" ca="1" si="1"/>
        <v>0.98808599505009165</v>
      </c>
      <c r="D44" s="66">
        <f t="shared" ca="1" si="2"/>
        <v>1</v>
      </c>
      <c r="E44" s="13">
        <f t="shared" ca="1" si="0"/>
        <v>-1.1914004949908352E-2</v>
      </c>
      <c r="F44" s="13">
        <f ca="1"/>
        <v>-1.221196481791087E-3</v>
      </c>
      <c r="G44" s="67">
        <f t="shared" ca="1" si="3"/>
        <v>0.99944718427675672</v>
      </c>
      <c r="H44" s="13">
        <f ca="1"/>
        <v>-2.3193261069145432E-3</v>
      </c>
      <c r="I44" s="67">
        <f t="shared" ca="1" si="4"/>
        <v>0.97429888167104417</v>
      </c>
      <c r="J44" s="12">
        <f ca="1"/>
        <v>5.0892203950514414E-4</v>
      </c>
      <c r="K44" s="12">
        <f ca="1"/>
        <v>-1.3614522156967346E-2</v>
      </c>
      <c r="L44" s="12">
        <f ca="1"/>
        <v>-7.7285352010626474E-3</v>
      </c>
      <c r="M44" s="12">
        <f ca="1"/>
        <v>5.4533925174382603E-3</v>
      </c>
      <c r="N44" s="12">
        <f ca="1"/>
        <v>-1.2827822120866639E-3</v>
      </c>
      <c r="O44" s="12">
        <f ca="1"/>
        <v>1.1494252873563093E-2</v>
      </c>
      <c r="P44" s="12">
        <f ca="1"/>
        <v>-5.4207766817737646E-3</v>
      </c>
      <c r="Q44" s="12">
        <f ca="1"/>
        <v>7.8012728392518049E-4</v>
      </c>
      <c r="R44" s="12">
        <f ca="1"/>
        <v>-2.4839275277616091E-3</v>
      </c>
      <c r="S44" s="12">
        <f ca="1"/>
        <v>1.3165803257106923E-3</v>
      </c>
      <c r="T44" s="12">
        <f ca="1"/>
        <v>-5.35577658760511E-3</v>
      </c>
      <c r="U44" s="12">
        <f ca="1"/>
        <v>-2.5235066371681603E-3</v>
      </c>
      <c r="V44" s="12">
        <f ca="1"/>
        <v>1.982160555004997E-3</v>
      </c>
      <c r="W44" s="12">
        <f ca="1"/>
        <v>1.5869588686170832E-2</v>
      </c>
      <c r="X44" s="12">
        <f ca="1"/>
        <v>8.7423008146234604E-3</v>
      </c>
      <c r="Y44" s="12">
        <f ca="1"/>
        <v>9.7100656455142431E-3</v>
      </c>
      <c r="Z44" s="12">
        <f ca="1"/>
        <v>0</v>
      </c>
    </row>
    <row r="45" spans="1:26" x14ac:dyDescent="0.2">
      <c r="A45" vm="734">
        <f ca="1"/>
        <v>46022</v>
      </c>
      <c r="B45" s="13">
        <f ca="1"/>
        <v>-6.024058472721713E-3</v>
      </c>
      <c r="C45" s="66">
        <f t="shared" ca="1" si="1"/>
        <v>0.98213370723983251</v>
      </c>
      <c r="D45" s="66">
        <f t="shared" ca="1" si="2"/>
        <v>1</v>
      </c>
      <c r="E45" s="13">
        <f t="shared" ca="1" si="0"/>
        <v>-1.786629276016749E-2</v>
      </c>
      <c r="F45" s="13">
        <f ca="1"/>
        <v>-7.4089169007729438E-3</v>
      </c>
      <c r="G45" s="67">
        <f t="shared" ca="1" si="3"/>
        <v>0.99204236314173877</v>
      </c>
      <c r="H45" s="13">
        <f ca="1"/>
        <v>-8.2656635939493128E-3</v>
      </c>
      <c r="I45" s="67">
        <f t="shared" ca="1" si="4"/>
        <v>0.96624565487519032</v>
      </c>
      <c r="J45" s="12">
        <f ca="1"/>
        <v>-2.384358607534609E-3</v>
      </c>
      <c r="K45" s="12">
        <f ca="1"/>
        <v>-3.0987821380243696E-2</v>
      </c>
      <c r="L45" s="12">
        <f ca="1"/>
        <v>-1.4177923816478089E-2</v>
      </c>
      <c r="M45" s="12">
        <f ca="1"/>
        <v>-7.6942482341069152E-3</v>
      </c>
      <c r="N45" s="12">
        <f ca="1"/>
        <v>-2.2834308548593807E-3</v>
      </c>
      <c r="O45" s="12">
        <f ca="1"/>
        <v>0</v>
      </c>
      <c r="P45" s="12">
        <f ca="1"/>
        <v>-4.5568263045032698E-3</v>
      </c>
      <c r="Q45" s="12">
        <f ca="1"/>
        <v>-7.9182735701978091E-3</v>
      </c>
      <c r="R45" s="12">
        <f ca="1"/>
        <v>-4.4675552951515263E-3</v>
      </c>
      <c r="S45" s="12">
        <f ca="1"/>
        <v>-1.0718879519794222E-2</v>
      </c>
      <c r="T45" s="12">
        <f ca="1"/>
        <v>-1.0615384615384582E-2</v>
      </c>
      <c r="U45" s="12">
        <f ca="1"/>
        <v>-3.8237162825621729E-3</v>
      </c>
      <c r="V45" s="12">
        <f ca="1"/>
        <v>-7.3538898206683134E-3</v>
      </c>
      <c r="W45" s="12">
        <f ca="1"/>
        <v>-5.2072263549415299E-3</v>
      </c>
      <c r="X45" s="12">
        <f ca="1"/>
        <v>6.5655570875189362E-4</v>
      </c>
      <c r="Y45" s="12">
        <f ca="1"/>
        <v>-4.7406203440335526E-3</v>
      </c>
      <c r="Z45" s="12">
        <f ca="1"/>
        <v>0</v>
      </c>
    </row>
    <row r="46" spans="1:26" x14ac:dyDescent="0.2">
      <c r="A46" vm="749">
        <f ca="1"/>
        <v>46024</v>
      </c>
      <c r="B46" s="13">
        <f ca="1"/>
        <v>9.6299583930007371E-3</v>
      </c>
      <c r="C46" s="66">
        <f t="shared" ca="1" si="1"/>
        <v>0.99159161397691575</v>
      </c>
      <c r="D46" s="66">
        <f t="shared" ca="1" si="2"/>
        <v>1</v>
      </c>
      <c r="E46" s="13">
        <f t="shared" ca="1" si="0"/>
        <v>-8.4083860230842467E-3</v>
      </c>
      <c r="F46" s="13">
        <f ca="1"/>
        <v>1.8330595964335394E-3</v>
      </c>
      <c r="G46" s="67">
        <f t="shared" ca="1" si="3"/>
        <v>0.99386083591556429</v>
      </c>
      <c r="H46" s="13">
        <f ca="1"/>
        <v>-1.9371327180087716E-3</v>
      </c>
      <c r="I46" s="67">
        <f t="shared" ca="1" si="4"/>
        <v>0.96437390880349783</v>
      </c>
      <c r="J46" s="12">
        <f ca="1"/>
        <v>4.8438495857232589E-3</v>
      </c>
      <c r="K46" s="12">
        <f ca="1"/>
        <v>0.1076665270213657</v>
      </c>
      <c r="L46" s="12">
        <f ca="1"/>
        <v>8.3945435466946661E-2</v>
      </c>
      <c r="M46" s="12">
        <f ca="1"/>
        <v>2.2626159908478494E-2</v>
      </c>
      <c r="N46" s="12">
        <f ca="1"/>
        <v>-1.1300243169789614E-2</v>
      </c>
      <c r="O46" s="12">
        <f ca="1"/>
        <v>0</v>
      </c>
      <c r="P46" s="12">
        <f ca="1"/>
        <v>1.2117404182748537E-2</v>
      </c>
      <c r="Q46" s="12">
        <f ca="1"/>
        <v>-2.2083453951449505E-2</v>
      </c>
      <c r="R46" s="12">
        <f ca="1"/>
        <v>-3.1266092841905069E-3</v>
      </c>
      <c r="S46" s="12">
        <f ca="1"/>
        <v>4.3917942791100728E-3</v>
      </c>
      <c r="T46" s="12">
        <f ca="1"/>
        <v>4.5405069196081449E-2</v>
      </c>
      <c r="U46" s="12">
        <f ca="1"/>
        <v>-9.0915416193149134E-3</v>
      </c>
      <c r="V46" s="12">
        <f ca="1"/>
        <v>-1.8715882505848658E-2</v>
      </c>
      <c r="W46" s="12">
        <f ca="1"/>
        <v>3.3009293878859092E-2</v>
      </c>
      <c r="X46" s="12">
        <f ca="1"/>
        <v>2.2898759923889678E-2</v>
      </c>
      <c r="Y46" s="12">
        <f ca="1"/>
        <v>2.667392487751763E-2</v>
      </c>
      <c r="Z46" s="12">
        <f ca="1"/>
        <v>0</v>
      </c>
    </row>
    <row r="47" spans="1:26" x14ac:dyDescent="0.2">
      <c r="A47" vm="766">
        <f ca="1"/>
        <v>46027</v>
      </c>
      <c r="B47" s="13">
        <f ca="1"/>
        <v>5.668926383277797E-3</v>
      </c>
      <c r="C47" s="66">
        <f t="shared" ca="1" si="1"/>
        <v>0.99721287383882662</v>
      </c>
      <c r="D47" s="66">
        <f t="shared" ca="1" si="2"/>
        <v>1</v>
      </c>
      <c r="E47" s="13">
        <f t="shared" ca="1" si="0"/>
        <v>-2.7871261611733811E-3</v>
      </c>
      <c r="F47" s="13">
        <f ca="1"/>
        <v>6.6601285185239334E-3</v>
      </c>
      <c r="G47" s="67">
        <f t="shared" ca="1" si="3"/>
        <v>1.0004800768122897</v>
      </c>
      <c r="H47" s="13">
        <f ca="1"/>
        <v>7.9429801670145572E-3</v>
      </c>
      <c r="I47" s="67">
        <f t="shared" ca="1" si="4"/>
        <v>0.97203391163471031</v>
      </c>
      <c r="J47" s="12">
        <f ca="1"/>
        <v>6.3427629075225589E-3</v>
      </c>
      <c r="K47" s="12">
        <f ca="1"/>
        <v>-3.1013615733736732E-2</v>
      </c>
      <c r="L47" s="12">
        <f ca="1"/>
        <v>-9.4527646489381834E-3</v>
      </c>
      <c r="M47" s="12">
        <f ca="1"/>
        <v>1.0316967060285842E-2</v>
      </c>
      <c r="N47" s="12">
        <f ca="1"/>
        <v>-1.7071759259259411E-2</v>
      </c>
      <c r="O47" s="12">
        <f ca="1"/>
        <v>-1.2345679012345512E-3</v>
      </c>
      <c r="P47" s="12">
        <f ca="1"/>
        <v>-4.4341965235905612E-4</v>
      </c>
      <c r="Q47" s="12">
        <f ca="1"/>
        <v>-1.9029898084321761E-4</v>
      </c>
      <c r="R47" s="12">
        <f ca="1"/>
        <v>-1.383712778126267E-2</v>
      </c>
      <c r="S47" s="12">
        <f ca="1"/>
        <v>-1.2082158679017296E-2</v>
      </c>
      <c r="T47" s="12">
        <f ca="1"/>
        <v>6.4554514353710957E-2</v>
      </c>
      <c r="U47" s="12">
        <f ca="1"/>
        <v>2.4856641310708083E-2</v>
      </c>
      <c r="V47" s="12">
        <f ca="1"/>
        <v>2.8962472406180995E-2</v>
      </c>
      <c r="W47" s="12">
        <f ca="1"/>
        <v>2.585315408479838E-2</v>
      </c>
      <c r="X47" s="12">
        <f ca="1"/>
        <v>5.0994227068633657E-2</v>
      </c>
      <c r="Y47" s="12">
        <f ca="1"/>
        <v>-5.4347826086955653E-3</v>
      </c>
      <c r="Z47" s="12">
        <f ca="1"/>
        <v>0</v>
      </c>
    </row>
    <row r="48" spans="1:26" x14ac:dyDescent="0.2">
      <c r="A48" vm="783">
        <f ca="1"/>
        <v>46028</v>
      </c>
      <c r="B48" s="13">
        <f ca="1"/>
        <v>-1.8811535855649917E-3</v>
      </c>
      <c r="C48" s="66">
        <f t="shared" ca="1" si="1"/>
        <v>0.99533696326563315</v>
      </c>
      <c r="D48" s="66">
        <f t="shared" ca="1" si="2"/>
        <v>1</v>
      </c>
      <c r="E48" s="13">
        <f t="shared" ca="1" si="0"/>
        <v>-4.6630367343668544E-3</v>
      </c>
      <c r="F48" s="13">
        <f ca="1"/>
        <v>5.9471878089918384E-3</v>
      </c>
      <c r="G48" s="67">
        <f t="shared" ca="1" si="3"/>
        <v>1.006430119728247</v>
      </c>
      <c r="H48" s="13">
        <f ca="1"/>
        <v>8.786549944173716E-3</v>
      </c>
      <c r="I48" s="67">
        <f t="shared" ca="1" si="4"/>
        <v>0.98057473614671919</v>
      </c>
      <c r="J48" s="12">
        <f ca="1"/>
        <v>-8.7293583764023186E-3</v>
      </c>
      <c r="K48" s="12">
        <f ca="1"/>
        <v>1.4051522248243575E-2</v>
      </c>
      <c r="L48" s="12">
        <f ca="1"/>
        <v>5.7487783845933116E-3</v>
      </c>
      <c r="M48" s="12">
        <f ca="1"/>
        <v>9.8425196850393526E-3</v>
      </c>
      <c r="N48" s="12">
        <f ca="1"/>
        <v>-1.4718869590815142E-3</v>
      </c>
      <c r="O48" s="12">
        <f ca="1"/>
        <v>-2.2249690976514191E-2</v>
      </c>
      <c r="P48" s="12">
        <f ca="1"/>
        <v>1.4461893354626998E-2</v>
      </c>
      <c r="Q48" s="12">
        <f ca="1"/>
        <v>1.1969969334884034E-2</v>
      </c>
      <c r="R48" s="12">
        <f ca="1"/>
        <v>-1.8334206390780428E-2</v>
      </c>
      <c r="S48" s="12">
        <f ca="1"/>
        <v>1.0191602119851151E-3</v>
      </c>
      <c r="T48" s="12">
        <f ca="1"/>
        <v>1.8303758558054994E-2</v>
      </c>
      <c r="U48" s="12">
        <f ca="1"/>
        <v>1.5255669490944923E-2</v>
      </c>
      <c r="V48" s="12">
        <f ca="1"/>
        <v>3.3768128378958151E-2</v>
      </c>
      <c r="W48" s="12">
        <f ca="1"/>
        <v>-2.1068548387096819E-2</v>
      </c>
      <c r="X48" s="12">
        <f ca="1"/>
        <v>-4.4613976197741878E-2</v>
      </c>
      <c r="Y48" s="12">
        <f ca="1"/>
        <v>-2.8388644542183039E-2</v>
      </c>
      <c r="Z48" s="12">
        <f ca="1"/>
        <v>0</v>
      </c>
    </row>
    <row r="49" spans="1:26" x14ac:dyDescent="0.2">
      <c r="A49" vm="798">
        <f ca="1"/>
        <v>46029</v>
      </c>
      <c r="B49" s="13">
        <f ca="1"/>
        <v>-5.1223242812952433E-3</v>
      </c>
      <c r="C49" s="66">
        <f t="shared" ca="1" si="1"/>
        <v>0.990238524570627</v>
      </c>
      <c r="D49" s="66">
        <f t="shared" ca="1" si="2"/>
        <v>1</v>
      </c>
      <c r="E49" s="13">
        <f t="shared" ca="1" si="0"/>
        <v>-9.7614754293730011E-3</v>
      </c>
      <c r="F49" s="13">
        <f ca="1"/>
        <v>-3.223428397970407E-3</v>
      </c>
      <c r="G49" s="67">
        <f t="shared" ca="1" si="3"/>
        <v>1.0031859642997423</v>
      </c>
      <c r="H49" s="13">
        <f ca="1"/>
        <v>9.6243303070164821E-4</v>
      </c>
      <c r="I49" s="67">
        <f t="shared" ca="1" si="4"/>
        <v>0.9815184736618584</v>
      </c>
      <c r="J49" s="12">
        <f ca="1"/>
        <v>2.5051661103163259E-2</v>
      </c>
      <c r="K49" s="12">
        <f ca="1"/>
        <v>-9.7510905824992333E-3</v>
      </c>
      <c r="L49" s="12">
        <f ca="1"/>
        <v>-1.9491283223778244E-2</v>
      </c>
      <c r="M49" s="12">
        <f ca="1"/>
        <v>-2.2173489278752401E-2</v>
      </c>
      <c r="N49" s="12">
        <f ca="1"/>
        <v>-4.4221698113207086E-3</v>
      </c>
      <c r="O49" s="12">
        <f ca="1"/>
        <v>5.0568900126422012E-3</v>
      </c>
      <c r="P49" s="12">
        <f ca="1"/>
        <v>-1.4168270071715949E-2</v>
      </c>
      <c r="Q49" s="12">
        <f ca="1"/>
        <v>1.0365509602725309E-2</v>
      </c>
      <c r="R49" s="12">
        <f ca="1"/>
        <v>-7.737459978655381E-3</v>
      </c>
      <c r="S49" s="12">
        <f ca="1"/>
        <v>-7.8540884893962826E-4</v>
      </c>
      <c r="T49" s="12">
        <f ca="1"/>
        <v>-2.1130625686059168E-2</v>
      </c>
      <c r="U49" s="12">
        <f ca="1"/>
        <v>-7.3332583511416249E-3</v>
      </c>
      <c r="V49" s="12">
        <f ca="1"/>
        <v>2.6148673888681806E-3</v>
      </c>
      <c r="W49" s="12">
        <f ca="1"/>
        <v>-3.2643394089177269E-2</v>
      </c>
      <c r="X49" s="12">
        <f ca="1"/>
        <v>-8.5601124313274823E-3</v>
      </c>
      <c r="Y49" s="12">
        <f ca="1"/>
        <v>-1.8655692729766749E-2</v>
      </c>
      <c r="Z49" s="12">
        <f ca="1"/>
        <v>0</v>
      </c>
    </row>
    <row r="50" spans="1:26" x14ac:dyDescent="0.2">
      <c r="A50" vm="813">
        <f ca="1"/>
        <v>46030</v>
      </c>
      <c r="B50" s="13">
        <f ca="1"/>
        <v>-1.1559310843842646E-3</v>
      </c>
      <c r="C50" s="66">
        <f t="shared" ca="1" si="1"/>
        <v>0.989093877079121</v>
      </c>
      <c r="D50" s="66">
        <f t="shared" ca="1" si="2"/>
        <v>1</v>
      </c>
      <c r="E50" s="13">
        <f t="shared" ca="1" si="0"/>
        <v>-1.0906122920879002E-2</v>
      </c>
      <c r="F50" s="13">
        <f ca="1"/>
        <v>-1.0151106470612792E-4</v>
      </c>
      <c r="G50" s="67">
        <f t="shared" ca="1" si="3"/>
        <v>1.003084129824408</v>
      </c>
      <c r="H50" s="13">
        <f ca="1"/>
        <v>-5.6889202269156947E-3</v>
      </c>
      <c r="I50" s="67">
        <f t="shared" ca="1" si="4"/>
        <v>0.975934693363952</v>
      </c>
      <c r="J50" s="12">
        <f ca="1"/>
        <v>1.1103185187482545E-2</v>
      </c>
      <c r="K50" s="12">
        <f ca="1"/>
        <v>-1.1661052086032742E-3</v>
      </c>
      <c r="L50" s="12">
        <f ca="1"/>
        <v>-6.2725894835023888E-2</v>
      </c>
      <c r="M50" s="12">
        <f ca="1"/>
        <v>2.8656865188136926E-3</v>
      </c>
      <c r="N50" s="12">
        <f ca="1"/>
        <v>2.7095054782351191E-2</v>
      </c>
      <c r="O50" s="12">
        <f ca="1"/>
        <v>-3.2704402515723263E-2</v>
      </c>
      <c r="P50" s="12">
        <f ca="1"/>
        <v>3.1050390347764356E-3</v>
      </c>
      <c r="Q50" s="12">
        <f ca="1"/>
        <v>-1.1086520363207675E-2</v>
      </c>
      <c r="R50" s="12">
        <f ca="1"/>
        <v>-4.9552491069025928E-3</v>
      </c>
      <c r="S50" s="12">
        <f ca="1"/>
        <v>-3.208151382823865E-2</v>
      </c>
      <c r="T50" s="12">
        <f ca="1"/>
        <v>-1.6540510232688654E-2</v>
      </c>
      <c r="U50" s="12">
        <f ca="1"/>
        <v>3.7084456933082377E-2</v>
      </c>
      <c r="V50" s="12">
        <f ca="1"/>
        <v>1.9581056466302371E-2</v>
      </c>
      <c r="W50" s="12">
        <f ca="1"/>
        <v>5.0883542686821492E-2</v>
      </c>
      <c r="X50" s="12">
        <f ca="1"/>
        <v>2.6095360824742286E-2</v>
      </c>
      <c r="Y50" s="12">
        <f ca="1"/>
        <v>-1.719317864131964E-2</v>
      </c>
      <c r="Z50" s="12">
        <f ca="1"/>
        <v>0</v>
      </c>
    </row>
    <row r="51" spans="1:26" x14ac:dyDescent="0.2">
      <c r="A51" vm="828">
        <f ca="1"/>
        <v>46031</v>
      </c>
      <c r="B51" s="13">
        <f ca="1"/>
        <v>9.9469405886736945E-3</v>
      </c>
      <c r="C51" s="66">
        <f t="shared" ca="1" si="1"/>
        <v>0.99893233511104784</v>
      </c>
      <c r="D51" s="66">
        <f t="shared" ca="1" si="2"/>
        <v>1</v>
      </c>
      <c r="E51" s="13">
        <f t="shared" ca="1" si="0"/>
        <v>-1.0676648889521578E-3</v>
      </c>
      <c r="F51" s="13">
        <f ca="1"/>
        <v>6.613392119041217E-3</v>
      </c>
      <c r="G51" s="67">
        <f t="shared" ca="1" si="3"/>
        <v>1.009717918503324</v>
      </c>
      <c r="H51" s="13">
        <f ca="1"/>
        <v>9.9601914677582837E-3</v>
      </c>
      <c r="I51" s="67">
        <f t="shared" ca="1" si="4"/>
        <v>0.98565518976988498</v>
      </c>
      <c r="J51" s="12">
        <f ca="1"/>
        <v>9.6009324867334378E-3</v>
      </c>
      <c r="K51" s="12">
        <f ca="1"/>
        <v>3.9564145803606232E-2</v>
      </c>
      <c r="L51" s="12">
        <f ca="1"/>
        <v>1.7415101380768849E-2</v>
      </c>
      <c r="M51" s="12">
        <f ca="1"/>
        <v>-3.7271710771523692E-3</v>
      </c>
      <c r="N51" s="12">
        <f ca="1"/>
        <v>1.6433616837249643E-2</v>
      </c>
      <c r="O51" s="12">
        <f ca="1"/>
        <v>3.9011703511053319E-2</v>
      </c>
      <c r="P51" s="12">
        <f ca="1"/>
        <v>1.2912355178208212E-2</v>
      </c>
      <c r="Q51" s="12">
        <f ca="1"/>
        <v>2.4471355964108543E-3</v>
      </c>
      <c r="R51" s="12">
        <f ca="1"/>
        <v>1.2739345274861424E-3</v>
      </c>
      <c r="S51" s="12">
        <f ca="1"/>
        <v>3.7566169393647764E-2</v>
      </c>
      <c r="T51" s="12">
        <f ca="1"/>
        <v>4.4184720638540398E-3</v>
      </c>
      <c r="U51" s="12">
        <f ca="1"/>
        <v>1.045547410167047E-2</v>
      </c>
      <c r="V51" s="12">
        <f ca="1"/>
        <v>4.4256770473831697E-3</v>
      </c>
      <c r="W51" s="12">
        <f ca="1"/>
        <v>-1.2256888168557523E-2</v>
      </c>
      <c r="X51" s="12">
        <f ca="1"/>
        <v>1.7959183673469381E-2</v>
      </c>
      <c r="Y51" s="12">
        <f ca="1"/>
        <v>7.395818517991648E-3</v>
      </c>
      <c r="Z51" s="12">
        <f ca="1"/>
        <v>0</v>
      </c>
    </row>
    <row r="52" spans="1:26" x14ac:dyDescent="0.2">
      <c r="A52" vm="845">
        <f ca="1"/>
        <v>46034</v>
      </c>
      <c r="B52" s="13">
        <f ca="1"/>
        <v>7.8849222756143221E-3</v>
      </c>
      <c r="C52" s="66">
        <f t="shared" ca="1" si="1"/>
        <v>1.0068088389319965</v>
      </c>
      <c r="D52" s="66">
        <f t="shared" ca="1" si="2"/>
        <v>1.0068088389319965</v>
      </c>
      <c r="E52" s="13">
        <f t="shared" ca="1" si="0"/>
        <v>0</v>
      </c>
      <c r="F52" s="13">
        <f ca="1"/>
        <v>1.5704467849062542E-3</v>
      </c>
      <c r="G52" s="67">
        <f t="shared" ca="1" si="3"/>
        <v>1.0113036267620998</v>
      </c>
      <c r="H52" s="13">
        <f ca="1"/>
        <v>8.298093034388998E-4</v>
      </c>
      <c r="I52" s="67">
        <f t="shared" ca="1" si="4"/>
        <v>0.98647309561633889</v>
      </c>
      <c r="J52" s="12">
        <f ca="1"/>
        <v>1.090721273622175E-2</v>
      </c>
      <c r="K52" s="12">
        <f ca="1"/>
        <v>0.12216121786872991</v>
      </c>
      <c r="L52" s="12">
        <f ca="1"/>
        <v>3.9430248196600903E-2</v>
      </c>
      <c r="M52" s="12">
        <f ca="1"/>
        <v>1.3966828781643681E-2</v>
      </c>
      <c r="N52" s="12">
        <f ca="1"/>
        <v>-1.418238547724604E-4</v>
      </c>
      <c r="O52" s="12">
        <f ca="1"/>
        <v>-1.7521902377972576E-2</v>
      </c>
      <c r="P52" s="12">
        <f ca="1"/>
        <v>3.0035798480747333E-2</v>
      </c>
      <c r="Q52" s="12">
        <f ca="1"/>
        <v>-4.3815723585377553E-3</v>
      </c>
      <c r="R52" s="12">
        <f ca="1"/>
        <v>3.3928364884141526E-3</v>
      </c>
      <c r="S52" s="12">
        <f ca="1"/>
        <v>2.0987332231788169E-2</v>
      </c>
      <c r="T52" s="12">
        <f ca="1"/>
        <v>4.5409394068398612E-3</v>
      </c>
      <c r="U52" s="12">
        <f ca="1"/>
        <v>1.9678228526944119E-2</v>
      </c>
      <c r="V52" s="12">
        <f ca="1"/>
        <v>-3.6785512167515355E-3</v>
      </c>
      <c r="W52" s="12">
        <f ca="1"/>
        <v>-2.0613270433801678E-2</v>
      </c>
      <c r="X52" s="12">
        <f ca="1"/>
        <v>1.4187897106903158E-3</v>
      </c>
      <c r="Y52" s="12">
        <f ca="1"/>
        <v>1.1718198503458899E-2</v>
      </c>
      <c r="Z52" s="12">
        <f ca="1"/>
        <v>0</v>
      </c>
    </row>
    <row r="53" spans="1:26" x14ac:dyDescent="0.2">
      <c r="A53" vm="861">
        <f ca="1"/>
        <v>46035</v>
      </c>
      <c r="B53" s="13">
        <f ca="1"/>
        <v>1.3038041267231372E-3</v>
      </c>
      <c r="C53" s="66">
        <f t="shared" ca="1" si="1"/>
        <v>1.0081215204510172</v>
      </c>
      <c r="D53" s="66">
        <f t="shared" ca="1" si="2"/>
        <v>1.0081215204510172</v>
      </c>
      <c r="E53" s="13">
        <f t="shared" ca="1" si="0"/>
        <v>0</v>
      </c>
      <c r="F53" s="13">
        <f ca="1"/>
        <v>-1.9995396743195393E-3</v>
      </c>
      <c r="G53" s="67">
        <f t="shared" ca="1" si="3"/>
        <v>1.0092814850376057</v>
      </c>
      <c r="H53" s="13">
        <f ca="1"/>
        <v>-1.4828515394549324E-3</v>
      </c>
      <c r="I53" s="67">
        <f t="shared" ca="1" si="4"/>
        <v>0.98501030246787336</v>
      </c>
      <c r="J53" s="12">
        <f ca="1"/>
        <v>1.1120127430649385E-2</v>
      </c>
      <c r="K53" s="12">
        <f ca="1"/>
        <v>-2.7243411542310692E-2</v>
      </c>
      <c r="L53" s="12">
        <f ca="1"/>
        <v>1.5820737516908823E-2</v>
      </c>
      <c r="M53" s="12">
        <f ca="1"/>
        <v>2.5827081539784302E-3</v>
      </c>
      <c r="N53" s="12">
        <f ca="1"/>
        <v>1.049645390070908E-2</v>
      </c>
      <c r="O53" s="12">
        <f ca="1"/>
        <v>-1.4012738853503071E-2</v>
      </c>
      <c r="P53" s="12">
        <f ca="1"/>
        <v>2.0259387979994825E-2</v>
      </c>
      <c r="Q53" s="12">
        <f ca="1"/>
        <v>-1.3642650572111115E-2</v>
      </c>
      <c r="R53" s="12">
        <f ca="1"/>
        <v>3.07396733909715E-3</v>
      </c>
      <c r="S53" s="12">
        <f ca="1"/>
        <v>6.8141165781778756E-3</v>
      </c>
      <c r="T53" s="12">
        <f ca="1"/>
        <v>-2.8252578047747168E-3</v>
      </c>
      <c r="U53" s="12">
        <f ca="1"/>
        <v>-1.2194087458117231E-3</v>
      </c>
      <c r="V53" s="12">
        <f ca="1"/>
        <v>-1.5701708118635138E-2</v>
      </c>
      <c r="W53" s="12">
        <f ca="1"/>
        <v>1.0052356020942232E-2</v>
      </c>
      <c r="X53" s="12">
        <f ca="1"/>
        <v>9.4246642848343498E-3</v>
      </c>
      <c r="Y53" s="12">
        <f ca="1"/>
        <v>2.121127546748558E-2</v>
      </c>
      <c r="Z53" s="12">
        <f ca="1"/>
        <v>0</v>
      </c>
    </row>
    <row r="54" spans="1:26" x14ac:dyDescent="0.2">
      <c r="A54" vm="878">
        <f ca="1"/>
        <v>46036</v>
      </c>
      <c r="B54" s="13">
        <f ca="1"/>
        <v>-4.3759268578103874E-3</v>
      </c>
      <c r="C54" s="66">
        <f t="shared" ca="1" si="1"/>
        <v>1.003710054413739</v>
      </c>
      <c r="D54" s="66">
        <f t="shared" ca="1" si="2"/>
        <v>1.0081215204510172</v>
      </c>
      <c r="E54" s="13">
        <f t="shared" ca="1" si="0"/>
        <v>-4.3759268578104039E-3</v>
      </c>
      <c r="F54" s="13">
        <f ca="1"/>
        <v>-4.9151736166164195E-3</v>
      </c>
      <c r="G54" s="67">
        <f t="shared" ca="1" si="3"/>
        <v>1.0043206913106095</v>
      </c>
      <c r="H54" s="13">
        <f ca="1"/>
        <v>-1.0682805314256583E-2</v>
      </c>
      <c r="I54" s="67">
        <f t="shared" ca="1" si="4"/>
        <v>0.97448762917407206</v>
      </c>
      <c r="J54" s="12">
        <f ca="1"/>
        <v>-3.5668638349728443E-4</v>
      </c>
      <c r="K54" s="12">
        <f ca="1"/>
        <v>2.6520347508001807E-2</v>
      </c>
      <c r="L54" s="12">
        <f ca="1"/>
        <v>-1.0768874478925383E-2</v>
      </c>
      <c r="M54" s="12">
        <f ca="1"/>
        <v>2.9440628066732533E-3</v>
      </c>
      <c r="N54" s="12">
        <f ca="1"/>
        <v>2.8074115665357446E-3</v>
      </c>
      <c r="O54" s="12">
        <f ca="1"/>
        <v>-2.3255813953488413E-2</v>
      </c>
      <c r="P54" s="12">
        <f ca="1"/>
        <v>-2.6586905948819961E-3</v>
      </c>
      <c r="Q54" s="12">
        <f ca="1"/>
        <v>-2.3987082244460112E-2</v>
      </c>
      <c r="R54" s="12">
        <f ca="1"/>
        <v>-4.1754453169892125E-3</v>
      </c>
      <c r="S54" s="12">
        <f ca="1"/>
        <v>-4.15103916979217E-2</v>
      </c>
      <c r="T54" s="12">
        <f ca="1"/>
        <v>1.076639750672892E-2</v>
      </c>
      <c r="U54" s="12">
        <f ca="1"/>
        <v>9.6079326489231232E-3</v>
      </c>
      <c r="V54" s="12">
        <f ca="1"/>
        <v>-2.4525968672712284E-2</v>
      </c>
      <c r="W54" s="12">
        <f ca="1"/>
        <v>4.0223927016380001E-2</v>
      </c>
      <c r="X54" s="12">
        <f ca="1"/>
        <v>2.0565082077256491E-2</v>
      </c>
      <c r="Y54" s="12">
        <f ca="1"/>
        <v>1.5987974856517928E-2</v>
      </c>
      <c r="Z54" s="12">
        <f ca="1"/>
        <v>0</v>
      </c>
    </row>
    <row r="55" spans="1:26" x14ac:dyDescent="0.2">
      <c r="A55" vm="894">
        <f ca="1"/>
        <v>46037</v>
      </c>
      <c r="B55" s="13">
        <f ca="1"/>
        <v>3.433963669796633E-3</v>
      </c>
      <c r="C55" s="66">
        <f t="shared" ca="1" si="1"/>
        <v>1.0071567582756054</v>
      </c>
      <c r="D55" s="66">
        <f t="shared" ca="1" si="2"/>
        <v>1.0081215204510172</v>
      </c>
      <c r="E55" s="13">
        <f t="shared" ca="1" si="0"/>
        <v>-9.569899618651536E-4</v>
      </c>
      <c r="F55" s="13">
        <f ca="1"/>
        <v>2.7232168723565486E-3</v>
      </c>
      <c r="G55" s="67">
        <f t="shared" ca="1" si="3"/>
        <v>1.0070556743624435</v>
      </c>
      <c r="H55" s="13">
        <f ca="1"/>
        <v>3.5993866516019768E-3</v>
      </c>
      <c r="I55" s="67">
        <f t="shared" ca="1" si="4"/>
        <v>0.97799518693867249</v>
      </c>
      <c r="J55" s="12">
        <f ca="1"/>
        <v>-9.3663584193154348E-3</v>
      </c>
      <c r="K55" s="12">
        <f ca="1"/>
        <v>5.8017817371937674E-2</v>
      </c>
      <c r="L55" s="12">
        <f ca="1"/>
        <v>9.832611494790866E-3</v>
      </c>
      <c r="M55" s="12">
        <f ca="1"/>
        <v>1.3087084148727834E-2</v>
      </c>
      <c r="N55" s="12">
        <f ca="1"/>
        <v>-1.3437849944008873E-2</v>
      </c>
      <c r="O55" s="12">
        <f ca="1"/>
        <v>4.2328042328042326E-2</v>
      </c>
      <c r="P55" s="12">
        <f ca="1"/>
        <v>-6.9976674441852849E-3</v>
      </c>
      <c r="Q55" s="12">
        <f ca="1"/>
        <v>-5.9210239888545235E-3</v>
      </c>
      <c r="R55" s="12">
        <f ca="1"/>
        <v>-6.7318048930604668E-3</v>
      </c>
      <c r="S55" s="12">
        <f ca="1"/>
        <v>9.2088616905470211E-3</v>
      </c>
      <c r="T55" s="12">
        <f ca="1"/>
        <v>3.2655921513665254E-2</v>
      </c>
      <c r="U55" s="12">
        <f ca="1"/>
        <v>6.0674251824432979E-3</v>
      </c>
      <c r="V55" s="12">
        <f ca="1"/>
        <v>6.4652440312698012E-3</v>
      </c>
      <c r="W55" s="12">
        <f ca="1"/>
        <v>-1.405222244369142E-2</v>
      </c>
      <c r="X55" s="12">
        <f ca="1"/>
        <v>-6.4577852188472118E-3</v>
      </c>
      <c r="Y55" s="12">
        <f ca="1"/>
        <v>-1.250840618695348E-2</v>
      </c>
      <c r="Z55" s="12">
        <f ca="1"/>
        <v>0</v>
      </c>
    </row>
    <row r="56" spans="1:26" x14ac:dyDescent="0.2">
      <c r="A56" vm="911">
        <f ca="1"/>
        <v>46038</v>
      </c>
      <c r="B56" s="13">
        <f ca="1"/>
        <v>3.32353204460531E-3</v>
      </c>
      <c r="C56" s="66">
        <f t="shared" ca="1" si="1"/>
        <v>1.0105040760356752</v>
      </c>
      <c r="D56" s="66">
        <f t="shared" ca="1" si="2"/>
        <v>1.0105040760356752</v>
      </c>
      <c r="E56" s="13">
        <f t="shared" ca="1" si="0"/>
        <v>0</v>
      </c>
      <c r="F56" s="13">
        <f ca="1"/>
        <v>-8.378597018375844E-4</v>
      </c>
      <c r="G56" s="67">
        <f t="shared" ca="1" si="3"/>
        <v>1.0062119029953882</v>
      </c>
      <c r="H56" s="13">
        <f ca="1"/>
        <v>-8.3630866222772493E-4</v>
      </c>
      <c r="I56" s="67">
        <f t="shared" ca="1" si="4"/>
        <v>0.97717728109221869</v>
      </c>
      <c r="J56" s="12">
        <f ca="1"/>
        <v>-8.4644014887743646E-3</v>
      </c>
      <c r="K56" s="12">
        <f ca="1"/>
        <v>6.5466792969161025E-2</v>
      </c>
      <c r="L56" s="12">
        <f ca="1"/>
        <v>2.5443375449171191E-2</v>
      </c>
      <c r="M56" s="12">
        <f ca="1"/>
        <v>-3.621876131836288E-3</v>
      </c>
      <c r="N56" s="12">
        <f ca="1"/>
        <v>-5.6753688989796824E-4</v>
      </c>
      <c r="O56" s="12">
        <f ca="1"/>
        <v>5.0761421319795996E-3</v>
      </c>
      <c r="P56" s="12">
        <f ca="1"/>
        <v>4.1946308724831738E-3</v>
      </c>
      <c r="Q56" s="12">
        <f ca="1"/>
        <v>7.0074015679060242E-3</v>
      </c>
      <c r="R56" s="12">
        <f ca="1"/>
        <v>-1.0379148754889322E-2</v>
      </c>
      <c r="S56" s="12">
        <f ca="1"/>
        <v>2.5333799778438637E-2</v>
      </c>
      <c r="T56" s="12">
        <f ca="1"/>
        <v>-4.3431053203041303E-3</v>
      </c>
      <c r="U56" s="12">
        <f ca="1"/>
        <v>7.170107133525061E-3</v>
      </c>
      <c r="V56" s="12">
        <f ca="1"/>
        <v>3.9465950121757576E-3</v>
      </c>
      <c r="W56" s="12">
        <f ca="1"/>
        <v>-7.4800363893663402E-3</v>
      </c>
      <c r="X56" s="12">
        <f ca="1"/>
        <v>6.0182956186793923E-4</v>
      </c>
      <c r="Y56" s="12">
        <f ca="1"/>
        <v>1.1304821574502855E-2</v>
      </c>
      <c r="Z56" s="12">
        <f ca="1"/>
        <v>0</v>
      </c>
    </row>
    <row r="57" spans="1:26" x14ac:dyDescent="0.2">
      <c r="A57" vm="926">
        <f ca="1"/>
        <v>46042</v>
      </c>
      <c r="B57" s="13">
        <f ca="1"/>
        <v>-1.9654098860483488E-2</v>
      </c>
      <c r="C57" s="66">
        <f t="shared" ca="1" si="1"/>
        <v>0.99064352902634845</v>
      </c>
      <c r="D57" s="66">
        <f t="shared" ca="1" si="2"/>
        <v>1.0105040760356752</v>
      </c>
      <c r="E57" s="13">
        <f t="shared" ca="1" si="0"/>
        <v>-1.9654098860483516E-2</v>
      </c>
      <c r="F57" s="13">
        <f ca="1"/>
        <v>-2.035682271636341E-2</v>
      </c>
      <c r="G57" s="67">
        <f t="shared" ca="1" si="3"/>
        <v>0.98572862567101638</v>
      </c>
      <c r="H57" s="13">
        <f ca="1"/>
        <v>-2.1247142903132454E-2</v>
      </c>
      <c r="I57" s="67">
        <f t="shared" ca="1" si="4"/>
        <v>0.95641505575915786</v>
      </c>
      <c r="J57" s="12">
        <f ca="1"/>
        <v>-2.4762366047102802E-2</v>
      </c>
      <c r="K57" s="12">
        <f ca="1"/>
        <v>-5.9369752049787672E-2</v>
      </c>
      <c r="L57" s="12">
        <f ca="1"/>
        <v>-9.8909173119312577E-3</v>
      </c>
      <c r="M57" s="12">
        <f ca="1"/>
        <v>-3.6350418029806875E-4</v>
      </c>
      <c r="N57" s="12">
        <f ca="1"/>
        <v>1.859738784781384E-2</v>
      </c>
      <c r="O57" s="12">
        <f ca="1"/>
        <v>-4.4191919191919116E-2</v>
      </c>
      <c r="P57" s="12">
        <f ca="1"/>
        <v>-8.2706766917294283E-3</v>
      </c>
      <c r="Q57" s="12">
        <f ca="1"/>
        <v>-1.1612229809072394E-2</v>
      </c>
      <c r="R57" s="12">
        <f ca="1"/>
        <v>-3.4555629475991112E-2</v>
      </c>
      <c r="S57" s="12">
        <f ca="1"/>
        <v>-5.4334536976486159E-2</v>
      </c>
      <c r="T57" s="12">
        <f ca="1"/>
        <v>-2.5218102508178797E-2</v>
      </c>
      <c r="U57" s="12">
        <f ca="1"/>
        <v>6.7454675646794193E-4</v>
      </c>
      <c r="V57" s="12">
        <f ca="1"/>
        <v>-3.3957845433255307E-2</v>
      </c>
      <c r="W57" s="12">
        <f ca="1"/>
        <v>-2.7192178429575331E-2</v>
      </c>
      <c r="X57" s="12">
        <f ca="1"/>
        <v>-5.774088776614783E-3</v>
      </c>
      <c r="Y57" s="12">
        <f ca="1"/>
        <v>-1.5353535353535341E-2</v>
      </c>
      <c r="Z57" s="12">
        <f ca="1"/>
        <v>0</v>
      </c>
    </row>
    <row r="58" spans="1:26" x14ac:dyDescent="0.2">
      <c r="A58" vm="941">
        <f ca="1"/>
        <v>46043</v>
      </c>
      <c r="B58" s="13">
        <f ca="1"/>
        <v>6.3941510263846217E-3</v>
      </c>
      <c r="C58" s="66">
        <f t="shared" ca="1" si="1"/>
        <v>0.99697785336425349</v>
      </c>
      <c r="D58" s="66">
        <f t="shared" ca="1" si="2"/>
        <v>1.0105040760356752</v>
      </c>
      <c r="E58" s="13">
        <f t="shared" ca="1" si="0"/>
        <v>-1.338561911050039E-2</v>
      </c>
      <c r="F58" s="13">
        <f ca="1"/>
        <v>1.1541072640868899E-2</v>
      </c>
      <c r="G58" s="67">
        <f t="shared" ca="1" si="3"/>
        <v>0.99710499134406949</v>
      </c>
      <c r="H58" s="13">
        <f ca="1"/>
        <v>1.351840278919858E-2</v>
      </c>
      <c r="I58" s="67">
        <f t="shared" ca="1" si="4"/>
        <v>0.96934425971656402</v>
      </c>
      <c r="J58" s="12">
        <f ca="1"/>
        <v>1.9307176558231776E-2</v>
      </c>
      <c r="K58" s="12">
        <f ca="1"/>
        <v>-1.2287334593572785E-2</v>
      </c>
      <c r="L58" s="12">
        <f ca="1"/>
        <v>3.5905925333942212E-2</v>
      </c>
      <c r="M58" s="12">
        <f ca="1"/>
        <v>8.1212121212121957E-3</v>
      </c>
      <c r="N58" s="12">
        <f ca="1"/>
        <v>3.6236933797910709E-3</v>
      </c>
      <c r="O58" s="12">
        <f ca="1"/>
        <v>7.9260237780713894E-3</v>
      </c>
      <c r="P58" s="12">
        <f ca="1"/>
        <v>5.475528599107049E-3</v>
      </c>
      <c r="Q58" s="12">
        <f ca="1"/>
        <v>-2.290328258382468E-2</v>
      </c>
      <c r="R58" s="12">
        <f ca="1"/>
        <v>3.8508309687881326E-3</v>
      </c>
      <c r="S58" s="12">
        <f ca="1"/>
        <v>-1.1425135297654876E-2</v>
      </c>
      <c r="T58" s="12">
        <f ca="1"/>
        <v>5.9991609565095638E-2</v>
      </c>
      <c r="U58" s="12">
        <f ca="1"/>
        <v>1.9289403272976235E-2</v>
      </c>
      <c r="V58" s="12">
        <f ca="1"/>
        <v>1.341991341991422E-3</v>
      </c>
      <c r="W58" s="12">
        <f ca="1"/>
        <v>1.7064489112227799E-2</v>
      </c>
      <c r="X58" s="12">
        <f ca="1"/>
        <v>8.6509376890500089E-3</v>
      </c>
      <c r="Y58" s="12">
        <f ca="1"/>
        <v>9.5746135959513534E-3</v>
      </c>
      <c r="Z58" s="12">
        <f ca="1"/>
        <v>0</v>
      </c>
    </row>
    <row r="59" spans="1:26" x14ac:dyDescent="0.2">
      <c r="A59" vm="957">
        <f ca="1"/>
        <v>46044</v>
      </c>
      <c r="B59" s="13">
        <f ca="1"/>
        <v>3.6870204505780949E-3</v>
      </c>
      <c r="C59" s="66">
        <f t="shared" ca="1" si="1"/>
        <v>1.000653731098381</v>
      </c>
      <c r="D59" s="66">
        <f t="shared" ca="1" si="2"/>
        <v>1.0105040760356752</v>
      </c>
      <c r="E59" s="13">
        <f t="shared" ca="1" si="0"/>
        <v>-9.7479517113263359E-3</v>
      </c>
      <c r="F59" s="13">
        <f ca="1"/>
        <v>5.2232273125183415E-3</v>
      </c>
      <c r="G59" s="67">
        <f t="shared" ca="1" si="3"/>
        <v>1.0023130973683061</v>
      </c>
      <c r="H59" s="13">
        <f ca="1"/>
        <v>7.2694229895502449E-3</v>
      </c>
      <c r="I59" s="67">
        <f t="shared" ca="1" si="4"/>
        <v>0.97639083316293618</v>
      </c>
      <c r="J59" s="12">
        <f ca="1"/>
        <v>7.4913210305134204E-3</v>
      </c>
      <c r="K59" s="12">
        <f ca="1"/>
        <v>-2.4029771398192401E-2</v>
      </c>
      <c r="L59" s="12">
        <f ca="1"/>
        <v>-1.9286934479527673E-3</v>
      </c>
      <c r="M59" s="12">
        <f ca="1"/>
        <v>6.9736683900445406E-3</v>
      </c>
      <c r="N59" s="12">
        <f ca="1"/>
        <v>-1.9441744202194355E-3</v>
      </c>
      <c r="O59" s="12">
        <f ca="1"/>
        <v>1.9659239842726217E-2</v>
      </c>
      <c r="P59" s="12">
        <f ca="1"/>
        <v>-1.2818364611260069E-2</v>
      </c>
      <c r="Q59" s="12">
        <f ca="1"/>
        <v>1.5829411632253265E-2</v>
      </c>
      <c r="R59" s="12">
        <f ca="1"/>
        <v>2.8265697557035008E-3</v>
      </c>
      <c r="S59" s="12">
        <f ca="1"/>
        <v>-1.0066909975669058E-2</v>
      </c>
      <c r="T59" s="12">
        <f ca="1"/>
        <v>1.8601583113456499E-2</v>
      </c>
      <c r="U59" s="12">
        <f ca="1"/>
        <v>-6.8066662596911742E-3</v>
      </c>
      <c r="V59" s="12">
        <f ca="1"/>
        <v>1.3099303964376752E-2</v>
      </c>
      <c r="W59" s="12">
        <f ca="1"/>
        <v>-2.7792074112198417E-3</v>
      </c>
      <c r="X59" s="12">
        <f ca="1"/>
        <v>-4.1984046062493174E-4</v>
      </c>
      <c r="Y59" s="12">
        <f ca="1"/>
        <v>-1.8832136566860891E-2</v>
      </c>
      <c r="Z59" s="12">
        <f ca="1"/>
        <v>0</v>
      </c>
    </row>
    <row r="60" spans="1:26" x14ac:dyDescent="0.2">
      <c r="A60" vm="974">
        <f ca="1"/>
        <v>46045</v>
      </c>
      <c r="B60" s="13">
        <f ca="1"/>
        <v>7.1334771526458136E-3</v>
      </c>
      <c r="C60" s="66">
        <f t="shared" ca="1" si="1"/>
        <v>1.0077918716268812</v>
      </c>
      <c r="D60" s="66">
        <f t="shared" ca="1" si="2"/>
        <v>1.0105040760356752</v>
      </c>
      <c r="E60" s="13">
        <f t="shared" ca="1" si="0"/>
        <v>-2.6840113494981947E-3</v>
      </c>
      <c r="F60" s="13">
        <f ca="1"/>
        <v>3.62855235275239E-4</v>
      </c>
      <c r="G60" s="67">
        <f t="shared" ca="1" si="3"/>
        <v>1.002676791923071</v>
      </c>
      <c r="H60" s="13">
        <f ca="1"/>
        <v>3.1574199368515909E-3</v>
      </c>
      <c r="I60" s="67">
        <f t="shared" ca="1" si="4"/>
        <v>0.97947370904572395</v>
      </c>
      <c r="J60" s="12">
        <f ca="1"/>
        <v>-7.284487970015574E-3</v>
      </c>
      <c r="K60" s="12">
        <f ca="1"/>
        <v>1.2964375204270517E-2</v>
      </c>
      <c r="L60" s="12">
        <f ca="1"/>
        <v>7.5640459363957024E-3</v>
      </c>
      <c r="M60" s="12">
        <f ca="1"/>
        <v>2.2686567164178495E-3</v>
      </c>
      <c r="N60" s="12">
        <f ca="1"/>
        <v>1.4053151523584217E-2</v>
      </c>
      <c r="O60" s="12">
        <f ca="1"/>
        <v>3.85604113110527E-3</v>
      </c>
      <c r="P60" s="12">
        <f ca="1"/>
        <v>-8.4868030213014478E-4</v>
      </c>
      <c r="Q60" s="12">
        <f ca="1"/>
        <v>3.2827946978764899E-2</v>
      </c>
      <c r="R60" s="12">
        <f ca="1"/>
        <v>-1.2482383732635993E-3</v>
      </c>
      <c r="S60" s="12">
        <f ca="1"/>
        <v>-1.6713263080278984E-2</v>
      </c>
      <c r="T60" s="12">
        <f ca="1"/>
        <v>4.7921253723610668E-3</v>
      </c>
      <c r="U60" s="12">
        <f ca="1"/>
        <v>7.2528350594671664E-3</v>
      </c>
      <c r="V60" s="12">
        <f ca="1"/>
        <v>2.0568404881795566E-2</v>
      </c>
      <c r="W60" s="12">
        <f ca="1"/>
        <v>1.5173410404624166E-2</v>
      </c>
      <c r="X60" s="12">
        <f ca="1"/>
        <v>3.6001440057598089E-4</v>
      </c>
      <c r="Y60" s="12">
        <f ca="1"/>
        <v>1.8365092515879589E-2</v>
      </c>
      <c r="Z60" s="12">
        <f ca="1"/>
        <v>0</v>
      </c>
    </row>
    <row r="61" spans="1:26" x14ac:dyDescent="0.2">
      <c r="A61" vm="989">
        <f ca="1"/>
        <v>46048</v>
      </c>
      <c r="B61" s="13">
        <f ca="1"/>
        <v>7.7994193592078858E-3</v>
      </c>
      <c r="C61" s="66">
        <f t="shared" ca="1" si="1"/>
        <v>1.0156520630605004</v>
      </c>
      <c r="D61" s="66">
        <f t="shared" ca="1" si="2"/>
        <v>1.0156520630605004</v>
      </c>
      <c r="E61" s="13">
        <f t="shared" ca="1" si="0"/>
        <v>0</v>
      </c>
      <c r="F61" s="13">
        <f ca="1"/>
        <v>5.0781306675564686E-3</v>
      </c>
      <c r="G61" s="67">
        <f t="shared" ca="1" si="3"/>
        <v>1.0077685156897827</v>
      </c>
      <c r="H61" s="13">
        <f ca="1"/>
        <v>4.4000513874615788E-3</v>
      </c>
      <c r="I61" s="67">
        <f t="shared" ca="1" si="4"/>
        <v>0.98378344369819271</v>
      </c>
      <c r="J61" s="12">
        <f ca="1"/>
        <v>1.571111043449136E-2</v>
      </c>
      <c r="K61" s="12">
        <f ca="1"/>
        <v>5.732415573241556E-2</v>
      </c>
      <c r="L61" s="12">
        <f ca="1"/>
        <v>-6.9044879171462625E-3</v>
      </c>
      <c r="M61" s="12">
        <f ca="1"/>
        <v>1.3700262091970616E-2</v>
      </c>
      <c r="N61" s="12">
        <f ca="1"/>
        <v>-4.3907793633368719E-3</v>
      </c>
      <c r="O61" s="12">
        <f ca="1"/>
        <v>1.2804097311140961E-3</v>
      </c>
      <c r="P61" s="12">
        <f ca="1"/>
        <v>-7.6446105495631134E-4</v>
      </c>
      <c r="Q61" s="12">
        <f ca="1"/>
        <v>9.2928425796758862E-3</v>
      </c>
      <c r="R61" s="12">
        <f ca="1"/>
        <v>2.9712949524270282E-2</v>
      </c>
      <c r="S61" s="12">
        <f ca="1"/>
        <v>1.4997656616153821E-2</v>
      </c>
      <c r="T61" s="12">
        <f ca="1"/>
        <v>-2.8744521783965027E-2</v>
      </c>
      <c r="U61" s="12">
        <f ca="1"/>
        <v>-5.6750572082380213E-3</v>
      </c>
      <c r="V61" s="12">
        <f ca="1"/>
        <v>-3.0941629034956231E-3</v>
      </c>
      <c r="W61" s="12">
        <f ca="1"/>
        <v>1.0167768174886849E-3</v>
      </c>
      <c r="X61" s="12">
        <f ca="1"/>
        <v>4.678502879078783E-3</v>
      </c>
      <c r="Y61" s="12">
        <f ca="1"/>
        <v>-6.7796610169491567E-3</v>
      </c>
      <c r="Z61" s="12">
        <f ca="1"/>
        <v>0</v>
      </c>
    </row>
    <row r="62" spans="1:26" x14ac:dyDescent="0.2">
      <c r="A62" vm="1005">
        <f ca="1"/>
        <v>46049</v>
      </c>
      <c r="B62" s="13">
        <f ca="1"/>
        <v>1.9479844626618857E-2</v>
      </c>
      <c r="C62" s="66">
        <f t="shared" ca="1" si="1"/>
        <v>1.0354368074436238</v>
      </c>
      <c r="D62" s="66">
        <f t="shared" ca="1" si="2"/>
        <v>1.0354368074436238</v>
      </c>
      <c r="E62" s="13">
        <f t="shared" ca="1" si="0"/>
        <v>0</v>
      </c>
      <c r="F62" s="13">
        <f ca="1"/>
        <v>3.9842362825344146E-3</v>
      </c>
      <c r="G62" s="67">
        <f t="shared" ca="1" si="3"/>
        <v>1.0117837035743897</v>
      </c>
      <c r="H62" s="13">
        <f ca="1"/>
        <v>9.0653279186518887E-3</v>
      </c>
      <c r="I62" s="67">
        <f t="shared" ca="1" si="4"/>
        <v>0.99270176321625747</v>
      </c>
      <c r="J62" s="12">
        <f ca="1"/>
        <v>4.2267454060374021E-3</v>
      </c>
      <c r="K62" s="12">
        <f ca="1"/>
        <v>0.10731359983724942</v>
      </c>
      <c r="L62" s="12">
        <f ca="1"/>
        <v>4.4032444959443806E-2</v>
      </c>
      <c r="M62" s="12">
        <f ca="1"/>
        <v>3.9957691855682098E-2</v>
      </c>
      <c r="N62" s="12">
        <f ca="1"/>
        <v>1.3643880926130114E-2</v>
      </c>
      <c r="O62" s="12">
        <f ca="1"/>
        <v>2.3017902813299296E-2</v>
      </c>
      <c r="P62" s="12">
        <f ca="1"/>
        <v>-5.9503570214213264E-3</v>
      </c>
      <c r="Q62" s="12">
        <f ca="1"/>
        <v>2.1901845708939272E-2</v>
      </c>
      <c r="R62" s="12">
        <f ca="1"/>
        <v>1.1197682158098576E-2</v>
      </c>
      <c r="S62" s="12">
        <f ca="1"/>
        <v>2.4442050177004848E-2</v>
      </c>
      <c r="T62" s="12">
        <f ca="1"/>
        <v>1.7252820172528605E-3</v>
      </c>
      <c r="U62" s="12">
        <f ca="1"/>
        <v>-7.5587877300111739E-3</v>
      </c>
      <c r="V62" s="12">
        <f ca="1"/>
        <v>2.6256186561530059E-2</v>
      </c>
      <c r="W62" s="12">
        <f ca="1"/>
        <v>1.4423565261554083E-2</v>
      </c>
      <c r="X62" s="12">
        <f ca="1"/>
        <v>9.2537313432836665E-3</v>
      </c>
      <c r="Y62" s="12">
        <f ca="1"/>
        <v>3.0034129692832812E-2</v>
      </c>
      <c r="Z62" s="12">
        <f ca="1"/>
        <v>0</v>
      </c>
    </row>
    <row r="63" spans="1:26" x14ac:dyDescent="0.2">
      <c r="A63" vm="1021">
        <f ca="1"/>
        <v>46050</v>
      </c>
      <c r="B63" s="13">
        <f ca="1"/>
        <v>-1.1413978214832236E-3</v>
      </c>
      <c r="C63" s="66">
        <f t="shared" ca="1" si="1"/>
        <v>1.034254962127324</v>
      </c>
      <c r="D63" s="66">
        <f t="shared" ca="1" si="2"/>
        <v>1.0354368074436238</v>
      </c>
      <c r="E63" s="13">
        <f t="shared" ca="1" si="0"/>
        <v>-1.1413978214832499E-3</v>
      </c>
      <c r="F63" s="13">
        <f ca="1"/>
        <v>-1.0064846367319191E-4</v>
      </c>
      <c r="G63" s="67">
        <f t="shared" ca="1" si="3"/>
        <v>1.0116818690990554</v>
      </c>
      <c r="H63" s="13">
        <f ca="1"/>
        <v>3.3115206058973445E-3</v>
      </c>
      <c r="I63" s="67">
        <f t="shared" ca="1" si="4"/>
        <v>0.99598911556065872</v>
      </c>
      <c r="J63" s="12">
        <f ca="1"/>
        <v>3.820895522387957E-3</v>
      </c>
      <c r="K63" s="12">
        <f ca="1"/>
        <v>-2.6088554106191486E-2</v>
      </c>
      <c r="L63" s="12">
        <f ca="1"/>
        <v>2.4047354790972975E-2</v>
      </c>
      <c r="M63" s="12">
        <f ca="1"/>
        <v>-1.6838060797830234E-2</v>
      </c>
      <c r="N63" s="12">
        <f ca="1"/>
        <v>-6.6621346023112427E-3</v>
      </c>
      <c r="O63" s="12">
        <f ca="1"/>
        <v>3.7499999999999201E-3</v>
      </c>
      <c r="P63" s="12">
        <f ca="1"/>
        <v>-3.1640157345648179E-3</v>
      </c>
      <c r="Q63" s="12">
        <f ca="1"/>
        <v>2.1848599608806918E-3</v>
      </c>
      <c r="R63" s="12">
        <f ca="1"/>
        <v>-7.0856080845626002E-3</v>
      </c>
      <c r="S63" s="12">
        <f ca="1"/>
        <v>1.3522040926710055E-3</v>
      </c>
      <c r="T63" s="12">
        <f ca="1"/>
        <v>-3.9745627980924958E-4</v>
      </c>
      <c r="U63" s="12">
        <f ca="1"/>
        <v>-9.7909881683637678E-3</v>
      </c>
      <c r="V63" s="12">
        <f ca="1"/>
        <v>-6.825241131273585E-3</v>
      </c>
      <c r="W63" s="12">
        <f ca="1"/>
        <v>1.5219785721437784E-2</v>
      </c>
      <c r="X63" s="12">
        <f ca="1"/>
        <v>5.2055604850635984E-3</v>
      </c>
      <c r="Y63" s="12">
        <f ca="1"/>
        <v>4.5062955599735055E-3</v>
      </c>
      <c r="Z63" s="12">
        <f ca="1"/>
        <v>0</v>
      </c>
    </row>
    <row r="64" spans="1:26" x14ac:dyDescent="0.2">
      <c r="A64" vm="1035">
        <f ca="1"/>
        <v>46051</v>
      </c>
      <c r="B64" s="13">
        <f ca="1"/>
        <v>-6.510109043083189E-3</v>
      </c>
      <c r="C64" s="66">
        <f t="shared" ca="1" si="1"/>
        <v>1.0275218495455254</v>
      </c>
      <c r="D64" s="66">
        <f t="shared" ca="1" si="2"/>
        <v>1.0354368074436238</v>
      </c>
      <c r="E64" s="13">
        <f t="shared" ca="1" si="0"/>
        <v>-7.6440762402869454E-3</v>
      </c>
      <c r="F64" s="13">
        <f ca="1"/>
        <v>-1.9844122976042655E-3</v>
      </c>
      <c r="G64" s="67">
        <f t="shared" ca="1" si="3"/>
        <v>1.009674275156752</v>
      </c>
      <c r="H64" s="13">
        <f ca="1"/>
        <v>-5.9852815767033052E-3</v>
      </c>
      <c r="I64" s="67">
        <f t="shared" ca="1" si="4"/>
        <v>0.99002784025669655</v>
      </c>
      <c r="J64" s="12">
        <f ca="1"/>
        <v>7.0774354704414844E-3</v>
      </c>
      <c r="K64" s="12">
        <f ca="1"/>
        <v>-6.1214865119788686E-2</v>
      </c>
      <c r="L64" s="12">
        <f ca="1"/>
        <v>6.9157720891825925E-3</v>
      </c>
      <c r="M64" s="12">
        <f ca="1"/>
        <v>1.7701149425287444E-2</v>
      </c>
      <c r="N64" s="12">
        <f ca="1"/>
        <v>5.0643306871065441E-3</v>
      </c>
      <c r="O64" s="12">
        <f ca="1"/>
        <v>3.2378580323785711E-2</v>
      </c>
      <c r="P64" s="12">
        <f ca="1"/>
        <v>7.2059706614051589E-3</v>
      </c>
      <c r="Q64" s="12">
        <f ca="1"/>
        <v>-9.9931482673421446E-2</v>
      </c>
      <c r="R64" s="12">
        <f ca="1"/>
        <v>7.1751676805489328E-3</v>
      </c>
      <c r="S64" s="12">
        <f ca="1"/>
        <v>-7.5321089905173721E-3</v>
      </c>
      <c r="T64" s="12">
        <f ca="1"/>
        <v>2.783300198807126E-3</v>
      </c>
      <c r="U64" s="12">
        <f ca="1"/>
        <v>-8.212077686879371E-3</v>
      </c>
      <c r="V64" s="12">
        <f ca="1"/>
        <v>-5.2672729517303507E-3</v>
      </c>
      <c r="W64" s="12">
        <f ca="1"/>
        <v>1.3906696912910466E-2</v>
      </c>
      <c r="X64" s="12">
        <f ca="1"/>
        <v>7.4148178661801456E-3</v>
      </c>
      <c r="Y64" s="12">
        <f ca="1"/>
        <v>2.2166512732550325E-2</v>
      </c>
      <c r="Z64" s="12">
        <f ca="1"/>
        <v>0</v>
      </c>
    </row>
    <row r="65" spans="1:26" x14ac:dyDescent="0.2">
      <c r="A65" vm="1052">
        <f ca="1"/>
        <v>46052</v>
      </c>
      <c r="B65" s="13">
        <f ca="1"/>
        <v>-4.9621457450482256E-3</v>
      </c>
      <c r="C65" s="66">
        <f t="shared" ca="1" si="1"/>
        <v>1.022423136371859</v>
      </c>
      <c r="D65" s="66">
        <f t="shared" ca="1" si="2"/>
        <v>1.0354368074436238</v>
      </c>
      <c r="E65" s="13">
        <f t="shared" ca="1" si="0"/>
        <v>-1.2568290964944587E-2</v>
      </c>
      <c r="F65" s="13">
        <f ca="1"/>
        <v>-2.9825370295659681E-3</v>
      </c>
      <c r="G65" s="67">
        <f t="shared" ca="1" si="3"/>
        <v>1.0066628842432968</v>
      </c>
      <c r="H65" s="13">
        <f ca="1"/>
        <v>-1.2010866974881962E-2</v>
      </c>
      <c r="I65" s="67">
        <f t="shared" ca="1" si="4"/>
        <v>0.97813674756594371</v>
      </c>
      <c r="J65" s="12">
        <f ca="1"/>
        <v>-3.8386582413052484E-4</v>
      </c>
      <c r="K65" s="12">
        <f ca="1"/>
        <v>-6.3699387119461548E-2</v>
      </c>
      <c r="L65" s="12">
        <f ca="1"/>
        <v>-4.5720143516145506E-2</v>
      </c>
      <c r="M65" s="12">
        <f ca="1"/>
        <v>-5.9859950304946841E-3</v>
      </c>
      <c r="N65" s="12">
        <f ca="1"/>
        <v>1.8793408688546842E-2</v>
      </c>
      <c r="O65" s="12">
        <f ca="1"/>
        <v>-3.9806996381182014E-2</v>
      </c>
      <c r="P65" s="12">
        <f ca="1"/>
        <v>1.4734690401158268E-2</v>
      </c>
      <c r="Q65" s="12">
        <f ca="1"/>
        <v>-7.4048442906573531E-3</v>
      </c>
      <c r="R65" s="12">
        <f ca="1"/>
        <v>4.6461204893915031E-3</v>
      </c>
      <c r="S65" s="12">
        <f ca="1"/>
        <v>1.7234602243521024E-3</v>
      </c>
      <c r="T65" s="12">
        <f ca="1"/>
        <v>-1.0309278350515427E-2</v>
      </c>
      <c r="U65" s="12">
        <f ca="1"/>
        <v>-1.3264909905655431E-2</v>
      </c>
      <c r="V65" s="12">
        <f ca="1"/>
        <v>-1.0052537955570151E-2</v>
      </c>
      <c r="W65" s="12">
        <f ca="1"/>
        <v>1.3910505836576048E-2</v>
      </c>
      <c r="X65" s="12">
        <f ca="1"/>
        <v>3.335475202990823E-2</v>
      </c>
      <c r="Y65" s="12">
        <f ca="1"/>
        <v>-5.6796179166128669E-3</v>
      </c>
      <c r="Z65" s="12">
        <f ca="1"/>
        <v>0</v>
      </c>
    </row>
    <row r="66" spans="1:26" x14ac:dyDescent="0.2">
      <c r="A66" vm="1069">
        <f ca="1"/>
        <v>46055</v>
      </c>
      <c r="B66" s="13">
        <f ca="1"/>
        <v>8.2577438130811403E-3</v>
      </c>
      <c r="C66" s="66">
        <f t="shared" ca="1" si="1"/>
        <v>1.0308660447005846</v>
      </c>
      <c r="D66" s="66">
        <f t="shared" ca="1" si="2"/>
        <v>1.0354368074436238</v>
      </c>
      <c r="E66" s="13">
        <f t="shared" ca="1" si="0"/>
        <v>-4.4143328788203229E-3</v>
      </c>
      <c r="F66" s="13">
        <f ca="1"/>
        <v>4.9713137852795963E-3</v>
      </c>
      <c r="G66" s="67">
        <f t="shared" ca="1" si="3"/>
        <v>1.0116673213168648</v>
      </c>
      <c r="H66" s="13">
        <f ca="1"/>
        <v>6.8663868654219584E-3</v>
      </c>
      <c r="I66" s="67">
        <f t="shared" ca="1" si="4"/>
        <v>0.9848530128820171</v>
      </c>
      <c r="J66" s="12">
        <f ca="1"/>
        <v>1.8816648450654228E-2</v>
      </c>
      <c r="K66" s="12">
        <f ca="1"/>
        <v>-4.5605751690095508E-2</v>
      </c>
      <c r="L66" s="12">
        <f ca="1"/>
        <v>2.057148995595659E-2</v>
      </c>
      <c r="M66" s="12">
        <f ca="1"/>
        <v>1.8066128848994278E-2</v>
      </c>
      <c r="N66" s="12">
        <f ca="1"/>
        <v>6.9509423873812537E-3</v>
      </c>
      <c r="O66" s="12">
        <f ca="1"/>
        <v>-8.793969849246297E-3</v>
      </c>
      <c r="P66" s="12">
        <f ca="1"/>
        <v>4.1295954339432672E-2</v>
      </c>
      <c r="Q66" s="12">
        <f ca="1"/>
        <v>-1.6082177136349962E-2</v>
      </c>
      <c r="R66" s="12">
        <f ca="1"/>
        <v>4.0581162324649256E-2</v>
      </c>
      <c r="S66" s="12">
        <f ca="1"/>
        <v>-5.7349833987319077E-4</v>
      </c>
      <c r="T66" s="12">
        <f ca="1"/>
        <v>5.2083333333332593E-3</v>
      </c>
      <c r="U66" s="12">
        <f ca="1"/>
        <v>2.9896304174421795E-2</v>
      </c>
      <c r="V66" s="12">
        <f ca="1"/>
        <v>1.5294609277058058E-2</v>
      </c>
      <c r="W66" s="12">
        <f ca="1"/>
        <v>-2.3409766861748005E-2</v>
      </c>
      <c r="X66" s="12">
        <f ca="1"/>
        <v>-1.6223855285471989E-2</v>
      </c>
      <c r="Y66" s="12">
        <f ca="1"/>
        <v>-1.6876541607166007E-2</v>
      </c>
      <c r="Z66" s="12">
        <f ca="1"/>
        <v>0</v>
      </c>
    </row>
    <row r="67" spans="1:26" x14ac:dyDescent="0.2">
      <c r="A67" vm="1085">
        <f ca="1"/>
        <v>46056</v>
      </c>
      <c r="B67" s="13">
        <f ca="1"/>
        <v>-5.0338591940223363E-3</v>
      </c>
      <c r="C67" s="66">
        <f t="shared" ca="1" si="1"/>
        <v>1.0256768101836631</v>
      </c>
      <c r="D67" s="66">
        <f t="shared" ca="1" si="2"/>
        <v>1.0354368074436238</v>
      </c>
      <c r="E67" s="13">
        <f t="shared" ref="E67:E130" ca="1" si="5">(C67-D67)/D67</f>
        <v>-9.4259709426952019E-3</v>
      </c>
      <c r="F67" s="13">
        <f ca="1"/>
        <v>-8.4554435512862458E-3</v>
      </c>
      <c r="G67" s="67">
        <f t="shared" ca="1" si="3"/>
        <v>1.0031132253887891</v>
      </c>
      <c r="H67" s="13">
        <f ca="1"/>
        <v>-1.536397610757978E-2</v>
      </c>
      <c r="I67" s="67">
        <f t="shared" ca="1" si="4"/>
        <v>0.96972175472261979</v>
      </c>
      <c r="J67" s="12">
        <f ca="1"/>
        <v>-1.2177442737025146E-2</v>
      </c>
      <c r="K67" s="12">
        <f ca="1"/>
        <v>1.2592759163481126E-2</v>
      </c>
      <c r="L67" s="12">
        <f ca="1"/>
        <v>7.3680332614078914E-4</v>
      </c>
      <c r="M67" s="12">
        <f ca="1"/>
        <v>-6.9196428571427493E-3</v>
      </c>
      <c r="N67" s="12">
        <f ca="1"/>
        <v>2.0708880923934636E-2</v>
      </c>
      <c r="O67" s="12">
        <f ca="1"/>
        <v>-4.1825095057034245E-2</v>
      </c>
      <c r="P67" s="12">
        <f ca="1"/>
        <v>2.9421247783330662E-2</v>
      </c>
      <c r="Q67" s="12">
        <f ca="1"/>
        <v>-2.8721921723315336E-2</v>
      </c>
      <c r="R67" s="12">
        <f ca="1"/>
        <v>-1.9628902633235246E-3</v>
      </c>
      <c r="S67" s="12">
        <f ca="1"/>
        <v>-3.2557156232068007E-2</v>
      </c>
      <c r="T67" s="12">
        <f ca="1"/>
        <v>-4.5170718745847216E-3</v>
      </c>
      <c r="U67" s="12">
        <f ca="1"/>
        <v>9.8723615184435065E-3</v>
      </c>
      <c r="V67" s="12">
        <f ca="1"/>
        <v>-1.7863022719789234E-2</v>
      </c>
      <c r="W67" s="12">
        <f ca="1"/>
        <v>3.0651340996168397E-2</v>
      </c>
      <c r="X67" s="12">
        <f ca="1"/>
        <v>2.3042004252140424E-2</v>
      </c>
      <c r="Y67" s="12">
        <f ca="1"/>
        <v>2.5089132444209516E-2</v>
      </c>
      <c r="Z67" s="12">
        <f ca="1"/>
        <v>0</v>
      </c>
    </row>
    <row r="68" spans="1:26" x14ac:dyDescent="0.2">
      <c r="A68" vm="1101">
        <f ca="1"/>
        <v>46057</v>
      </c>
      <c r="B68" s="13">
        <f ca="1"/>
        <v>-2.4954562519485992E-3</v>
      </c>
      <c r="C68" s="66">
        <f t="shared" ref="C68:C131" ca="1" si="6">C67 * (1 + B68)</f>
        <v>1.0231172785752116</v>
      </c>
      <c r="D68" s="66">
        <f t="shared" ref="D68:D131" ca="1" si="7">MAX(D67,C68)</f>
        <v>1.0354368074436238</v>
      </c>
      <c r="E68" s="13">
        <f t="shared" ca="1" si="5"/>
        <v>-1.189790509652411E-2</v>
      </c>
      <c r="F68" s="13">
        <f ca="1"/>
        <v>-4.8438791640681433E-3</v>
      </c>
      <c r="G68" s="67">
        <f t="shared" ref="G68:G131" ca="1" si="8">G67*(1+F68)</f>
        <v>0.9982542661371272</v>
      </c>
      <c r="H68" s="13">
        <f ca="1"/>
        <v>-1.7469019658729601E-2</v>
      </c>
      <c r="I68" s="67">
        <f t="shared" ref="I68:I131" ca="1" si="9">I67*(1+H68)</f>
        <v>0.95278166632587258</v>
      </c>
      <c r="J68" s="12">
        <f ca="1"/>
        <v>-2.1602582917522817E-2</v>
      </c>
      <c r="K68" s="12">
        <f ca="1"/>
        <v>-8.4388185654008518E-2</v>
      </c>
      <c r="L68" s="12">
        <f ca="1"/>
        <v>-3.9915855903234321E-2</v>
      </c>
      <c r="M68" s="12">
        <f ca="1"/>
        <v>4.8325466396941241E-3</v>
      </c>
      <c r="N68" s="12">
        <f ca="1"/>
        <v>5.9825725061775081E-3</v>
      </c>
      <c r="O68" s="12">
        <f ca="1"/>
        <v>-1.1904761904761862E-2</v>
      </c>
      <c r="P68" s="12">
        <f ca="1"/>
        <v>2.2707697126302939E-3</v>
      </c>
      <c r="Q68" s="12">
        <f ca="1"/>
        <v>7.2469054740886829E-3</v>
      </c>
      <c r="R68" s="12">
        <f ca="1"/>
        <v>2.6013062193854797E-2</v>
      </c>
      <c r="S68" s="12">
        <f ca="1"/>
        <v>-3.8335466550120101E-2</v>
      </c>
      <c r="T68" s="12">
        <f ca="1"/>
        <v>-1.9885226211130536E-2</v>
      </c>
      <c r="U68" s="12">
        <f ca="1"/>
        <v>4.3970876963350669E-4</v>
      </c>
      <c r="V68" s="12">
        <f ca="1"/>
        <v>-2.3593998826586193E-2</v>
      </c>
      <c r="W68" s="12">
        <f ca="1"/>
        <v>2.5545705843103672E-2</v>
      </c>
      <c r="X68" s="12">
        <f ca="1"/>
        <v>1.7917321950123632E-2</v>
      </c>
      <c r="Y68" s="12">
        <f ca="1"/>
        <v>1.4942676800206334E-2</v>
      </c>
      <c r="Z68" s="12">
        <f ca="1"/>
        <v>0</v>
      </c>
    </row>
    <row r="69" spans="1:26" x14ac:dyDescent="0.2">
      <c r="A69" vm="1117">
        <f ca="1"/>
        <v>46058</v>
      </c>
      <c r="B69" s="13">
        <f ca="1"/>
        <v>-1.8080476439181675E-2</v>
      </c>
      <c r="C69" s="66">
        <f t="shared" ca="1" si="6"/>
        <v>1.0046188307254129</v>
      </c>
      <c r="D69" s="66">
        <f t="shared" ca="1" si="7"/>
        <v>1.0354368074436238</v>
      </c>
      <c r="E69" s="13">
        <f t="shared" ca="1" si="5"/>
        <v>-2.9763261742932381E-2</v>
      </c>
      <c r="F69" s="13">
        <f ca="1"/>
        <v>-1.2489252247919747E-2</v>
      </c>
      <c r="G69" s="67">
        <f t="shared" ca="1" si="8"/>
        <v>0.98578681679977864</v>
      </c>
      <c r="H69" s="13">
        <f ca="1"/>
        <v>-1.4395377631035933E-2</v>
      </c>
      <c r="I69" s="67">
        <f t="shared" ca="1" si="9"/>
        <v>0.93906601443918392</v>
      </c>
      <c r="J69" s="12">
        <f ca="1"/>
        <v>-6.0298794024119529E-3</v>
      </c>
      <c r="K69" s="12">
        <f ca="1"/>
        <v>-9.4712587921416347E-2</v>
      </c>
      <c r="L69" s="12">
        <f ca="1"/>
        <v>-2.6347502191060523E-2</v>
      </c>
      <c r="M69" s="12">
        <f ca="1"/>
        <v>-2.8408455430041335E-2</v>
      </c>
      <c r="N69" s="12">
        <f ca="1"/>
        <v>1.4996767937944577E-2</v>
      </c>
      <c r="O69" s="12">
        <f ca="1"/>
        <v>1.2048192771084265E-2</v>
      </c>
      <c r="P69" s="12">
        <f ca="1"/>
        <v>-8.2812500000000178E-3</v>
      </c>
      <c r="Q69" s="12">
        <f ca="1"/>
        <v>-4.9542480504116471E-2</v>
      </c>
      <c r="R69" s="12">
        <f ca="1"/>
        <v>-2.0977250533472658E-3</v>
      </c>
      <c r="S69" s="12">
        <f ca="1"/>
        <v>7.9857166044472461E-3</v>
      </c>
      <c r="T69" s="12">
        <f ca="1"/>
        <v>-5.3785403050108926E-2</v>
      </c>
      <c r="U69" s="12">
        <f ca="1"/>
        <v>1.1182092298257285E-2</v>
      </c>
      <c r="V69" s="12">
        <f ca="1"/>
        <v>-4.4207905918709045E-2</v>
      </c>
      <c r="W69" s="12">
        <f ca="1"/>
        <v>-2.425876010781669E-2</v>
      </c>
      <c r="X69" s="12">
        <f ca="1"/>
        <v>-1.1035700491088707E-2</v>
      </c>
      <c r="Y69" s="12">
        <f ca="1"/>
        <v>-5.2798578499809734E-2</v>
      </c>
      <c r="Z69" s="12">
        <f ca="1"/>
        <v>0</v>
      </c>
    </row>
    <row r="70" spans="1:26" x14ac:dyDescent="0.2">
      <c r="A70" vm="1132">
        <f ca="1"/>
        <v>46059</v>
      </c>
      <c r="B70" s="13">
        <f ca="1"/>
        <v>2.4458749021558545E-2</v>
      </c>
      <c r="C70" s="66">
        <f t="shared" ca="1" si="6"/>
        <v>1.0291905505684575</v>
      </c>
      <c r="D70" s="66">
        <f t="shared" ca="1" si="7"/>
        <v>1.0354368074436238</v>
      </c>
      <c r="E70" s="13">
        <f t="shared" ca="1" si="5"/>
        <v>-6.0324848704070349E-3</v>
      </c>
      <c r="F70" s="13">
        <f ca="1"/>
        <v>1.9184793837254022E-2</v>
      </c>
      <c r="G70" s="67">
        <f t="shared" ca="1" si="8"/>
        <v>1.0046989336475654</v>
      </c>
      <c r="H70" s="13">
        <f ca="1"/>
        <v>2.1137966266351782E-2</v>
      </c>
      <c r="I70" s="67">
        <f t="shared" ca="1" si="9"/>
        <v>0.95891596017427683</v>
      </c>
      <c r="J70" s="12">
        <f ca="1"/>
        <v>-2.4839284097425418E-2</v>
      </c>
      <c r="K70" s="12">
        <f ca="1"/>
        <v>0.20495646349631613</v>
      </c>
      <c r="L70" s="12">
        <f ca="1"/>
        <v>0.10030942334739801</v>
      </c>
      <c r="M70" s="12">
        <f ca="1"/>
        <v>2.7857718429837641E-2</v>
      </c>
      <c r="N70" s="12">
        <f ca="1"/>
        <v>6.6233600815182037E-3</v>
      </c>
      <c r="O70" s="12">
        <f ca="1"/>
        <v>5.555555555555558E-2</v>
      </c>
      <c r="P70" s="12">
        <f ca="1"/>
        <v>3.3401607058452853E-2</v>
      </c>
      <c r="Q70" s="12">
        <f ca="1"/>
        <v>1.8975283867198378E-2</v>
      </c>
      <c r="R70" s="12">
        <f ca="1"/>
        <v>8.0098582871226398E-3</v>
      </c>
      <c r="S70" s="12">
        <f ca="1"/>
        <v>7.2171588676693155E-2</v>
      </c>
      <c r="T70" s="12">
        <f ca="1"/>
        <v>7.3391854943157364E-2</v>
      </c>
      <c r="U70" s="12">
        <f ca="1"/>
        <v>1.199850397760005E-2</v>
      </c>
      <c r="V70" s="12">
        <f ca="1"/>
        <v>-5.5548071309892699E-2</v>
      </c>
      <c r="W70" s="12">
        <f ca="1"/>
        <v>2.5147647170889798E-2</v>
      </c>
      <c r="X70" s="12">
        <f ca="1"/>
        <v>9.0944596328741412E-3</v>
      </c>
      <c r="Y70" s="12">
        <f ca="1"/>
        <v>8.8436285676003479E-3</v>
      </c>
      <c r="Z70" s="12">
        <f ca="1"/>
        <v>0</v>
      </c>
    </row>
    <row r="71" spans="1:26" x14ac:dyDescent="0.2">
      <c r="A71" vm="1147">
        <f ca="1"/>
        <v>46062</v>
      </c>
      <c r="B71" s="13">
        <f ca="1"/>
        <v>1.0718782549532291E-2</v>
      </c>
      <c r="C71" s="66">
        <f t="shared" ca="1" si="6"/>
        <v>1.0402222202820341</v>
      </c>
      <c r="D71" s="66">
        <f t="shared" ca="1" si="7"/>
        <v>1.0402222202820341</v>
      </c>
      <c r="E71" s="13">
        <f t="shared" ca="1" si="5"/>
        <v>0</v>
      </c>
      <c r="F71" s="13">
        <f ca="1"/>
        <v>4.8217543656425832E-3</v>
      </c>
      <c r="G71" s="67">
        <f t="shared" ca="1" si="8"/>
        <v>1.009543345117037</v>
      </c>
      <c r="H71" s="13">
        <f ca="1"/>
        <v>7.6601328631182852E-3</v>
      </c>
      <c r="I71" s="67">
        <f t="shared" ca="1" si="9"/>
        <v>0.96626138383377647</v>
      </c>
      <c r="J71" s="12">
        <f ca="1"/>
        <v>4.0235221293716261E-3</v>
      </c>
      <c r="K71" s="12">
        <f ca="1"/>
        <v>7.6042245692051091E-2</v>
      </c>
      <c r="L71" s="12">
        <f ca="1"/>
        <v>3.2825442274261096E-2</v>
      </c>
      <c r="M71" s="12">
        <f ca="1"/>
        <v>1.6015231268899033E-2</v>
      </c>
      <c r="N71" s="12">
        <f ca="1"/>
        <v>-1.3412628115905378E-2</v>
      </c>
      <c r="O71" s="12">
        <f ca="1"/>
        <v>1.2531328320801727E-3</v>
      </c>
      <c r="P71" s="12">
        <f ca="1"/>
        <v>-1.646592468364072E-2</v>
      </c>
      <c r="Q71" s="12">
        <f ca="1"/>
        <v>3.1061474796829192E-2</v>
      </c>
      <c r="R71" s="12">
        <f ca="1"/>
        <v>-1.258449590104993E-2</v>
      </c>
      <c r="S71" s="12">
        <f ca="1"/>
        <v>3.3101045296167086E-2</v>
      </c>
      <c r="T71" s="12">
        <f ca="1"/>
        <v>5.1347365598605643E-2</v>
      </c>
      <c r="U71" s="12">
        <f ca="1"/>
        <v>-3.5658635982259712E-3</v>
      </c>
      <c r="V71" s="12">
        <f ca="1"/>
        <v>-7.607455306199995E-3</v>
      </c>
      <c r="W71" s="12">
        <f ca="1"/>
        <v>1.003530942204045E-2</v>
      </c>
      <c r="X71" s="12">
        <f ca="1"/>
        <v>9.6207010947693128E-3</v>
      </c>
      <c r="Y71" s="12">
        <f ca="1"/>
        <v>3.3337760658785909E-2</v>
      </c>
      <c r="Z71" s="12">
        <f ca="1"/>
        <v>0</v>
      </c>
    </row>
    <row r="72" spans="1:26" x14ac:dyDescent="0.2">
      <c r="A72" vm="1163">
        <f ca="1"/>
        <v>46063</v>
      </c>
      <c r="B72" s="13">
        <f ca="1"/>
        <v>-7.9614379366703993E-3</v>
      </c>
      <c r="C72" s="66">
        <f t="shared" ca="1" si="6"/>
        <v>1.0319405556349133</v>
      </c>
      <c r="D72" s="66">
        <f t="shared" ca="1" si="7"/>
        <v>1.0402222202820341</v>
      </c>
      <c r="E72" s="13">
        <f t="shared" ca="1" si="5"/>
        <v>-7.9614379366703802E-3</v>
      </c>
      <c r="F72" s="13">
        <f ca="1"/>
        <v>-2.6370775992506923E-3</v>
      </c>
      <c r="G72" s="67">
        <f t="shared" ca="1" si="8"/>
        <v>1.0068811009761562</v>
      </c>
      <c r="H72" s="13">
        <f ca="1"/>
        <v>-4.6392759473889988E-3</v>
      </c>
      <c r="I72" s="67">
        <f t="shared" ca="1" si="9"/>
        <v>0.96177863063686564</v>
      </c>
      <c r="J72" s="12">
        <f ca="1"/>
        <v>-1.7786683107274937E-2</v>
      </c>
      <c r="K72" s="12">
        <f ca="1"/>
        <v>-1.7357164996383956E-2</v>
      </c>
      <c r="L72" s="12">
        <f ca="1"/>
        <v>-1.1782178217821793E-2</v>
      </c>
      <c r="M72" s="12">
        <f ca="1"/>
        <v>-1.3558201058201047E-2</v>
      </c>
      <c r="N72" s="12">
        <f ca="1"/>
        <v>-1.4877516993715534E-2</v>
      </c>
      <c r="O72" s="12">
        <f ca="1"/>
        <v>1.5018773466833446E-2</v>
      </c>
      <c r="P72" s="12">
        <f ca="1"/>
        <v>-1.7981708262284957E-2</v>
      </c>
      <c r="Q72" s="12">
        <f ca="1"/>
        <v>-7.9787234042560939E-4</v>
      </c>
      <c r="R72" s="12">
        <f ca="1"/>
        <v>-3.4229116597480624E-3</v>
      </c>
      <c r="S72" s="12">
        <f ca="1"/>
        <v>-1.0176193522125954E-2</v>
      </c>
      <c r="T72" s="12">
        <f ca="1"/>
        <v>-1.555725580209133E-2</v>
      </c>
      <c r="U72" s="12">
        <f ca="1"/>
        <v>-2.6423681071382044E-2</v>
      </c>
      <c r="V72" s="12">
        <f ca="1"/>
        <v>-8.4323495592180109E-3</v>
      </c>
      <c r="W72" s="12">
        <f ca="1"/>
        <v>-1.1039558417663353E-2</v>
      </c>
      <c r="X72" s="12">
        <f ca="1"/>
        <v>-1.861993428258546E-3</v>
      </c>
      <c r="Y72" s="12">
        <f ca="1"/>
        <v>1.2853470437019787E-3</v>
      </c>
      <c r="Z72" s="12">
        <f ca="1"/>
        <v>0</v>
      </c>
    </row>
    <row r="73" spans="1:26" x14ac:dyDescent="0.2">
      <c r="A73" vm="1180">
        <f ca="1"/>
        <v>46064</v>
      </c>
      <c r="B73" s="13">
        <f ca="1"/>
        <v>1.3772695409765435E-2</v>
      </c>
      <c r="C73" s="66">
        <f t="shared" ca="1" si="6"/>
        <v>1.046153158588657</v>
      </c>
      <c r="D73" s="66">
        <f t="shared" ca="1" si="7"/>
        <v>1.046153158588657</v>
      </c>
      <c r="E73" s="13">
        <f t="shared" ca="1" si="5"/>
        <v>0</v>
      </c>
      <c r="F73" s="13">
        <f ca="1"/>
        <v>-2.3117378489279083E-4</v>
      </c>
      <c r="G73" s="67">
        <f t="shared" ca="1" si="8"/>
        <v>1.0066483364611065</v>
      </c>
      <c r="H73" s="13">
        <f ca="1"/>
        <v>2.6820612622042717E-3</v>
      </c>
      <c r="I73" s="67">
        <f t="shared" ca="1" si="9"/>
        <v>0.96435817984491268</v>
      </c>
      <c r="J73" s="12">
        <f ca="1"/>
        <v>-2.2910585946081752E-2</v>
      </c>
      <c r="K73" s="12">
        <f ca="1"/>
        <v>4.2056566081383195E-4</v>
      </c>
      <c r="L73" s="12">
        <f ca="1"/>
        <v>0.24491533914437413</v>
      </c>
      <c r="M73" s="12">
        <f ca="1"/>
        <v>-7.8221030282710213E-4</v>
      </c>
      <c r="N73" s="12">
        <f ca="1"/>
        <v>2.3304257258169425E-2</v>
      </c>
      <c r="O73" s="12">
        <f ca="1"/>
        <v>-1.2330456226880337E-2</v>
      </c>
      <c r="P73" s="12">
        <f ca="1"/>
        <v>1.633780584056832E-2</v>
      </c>
      <c r="Q73" s="12">
        <f ca="1"/>
        <v>-2.1535557867737753E-2</v>
      </c>
      <c r="R73" s="12">
        <f ca="1"/>
        <v>6.6501023092662148E-3</v>
      </c>
      <c r="S73" s="12">
        <f ca="1"/>
        <v>6.8147103748090743E-3</v>
      </c>
      <c r="T73" s="12">
        <f ca="1"/>
        <v>-1.1010362694300668E-2</v>
      </c>
      <c r="U73" s="12">
        <f ca="1"/>
        <v>7.1146896203782006E-3</v>
      </c>
      <c r="V73" s="12">
        <f ca="1"/>
        <v>-1.3915732508697265E-2</v>
      </c>
      <c r="W73" s="12">
        <f ca="1"/>
        <v>3.4511627906976594E-2</v>
      </c>
      <c r="X73" s="12">
        <f ca="1"/>
        <v>1.9532535937671458E-2</v>
      </c>
      <c r="Y73" s="12">
        <f ca="1"/>
        <v>2.9910141206675123E-2</v>
      </c>
      <c r="Z73" s="12">
        <f ca="1"/>
        <v>0</v>
      </c>
    </row>
    <row r="74" spans="1:26" x14ac:dyDescent="0.2">
      <c r="A74" vm="1195">
        <f ca="1"/>
        <v>46065</v>
      </c>
      <c r="B74" s="13">
        <f ca="1"/>
        <v>-1.8276524080673689E-2</v>
      </c>
      <c r="C74" s="66">
        <f t="shared" ca="1" si="6"/>
        <v>1.0270331151936385</v>
      </c>
      <c r="D74" s="66">
        <f t="shared" ca="1" si="7"/>
        <v>1.046153158588657</v>
      </c>
      <c r="E74" s="13">
        <f t="shared" ca="1" si="5"/>
        <v>-1.8276524080673751E-2</v>
      </c>
      <c r="F74" s="13">
        <f ca="1"/>
        <v>-1.5448869876871552E-2</v>
      </c>
      <c r="G74" s="67">
        <f t="shared" ca="1" si="8"/>
        <v>0.99109675729934965</v>
      </c>
      <c r="H74" s="13">
        <f ca="1"/>
        <v>-2.03389277617394E-2</v>
      </c>
      <c r="I74" s="67">
        <f t="shared" ca="1" si="9"/>
        <v>0.94474416848860454</v>
      </c>
      <c r="J74" s="12">
        <f ca="1"/>
        <v>-6.2955706163876357E-3</v>
      </c>
      <c r="K74" s="12">
        <f ca="1"/>
        <v>5.7803468208093012E-3</v>
      </c>
      <c r="L74" s="12">
        <f ca="1"/>
        <v>-4.8287795259748134E-2</v>
      </c>
      <c r="M74" s="12">
        <f ca="1"/>
        <v>-2.9411764705882248E-2</v>
      </c>
      <c r="N74" s="12">
        <f ca="1"/>
        <v>5.0890585241731845E-3</v>
      </c>
      <c r="O74" s="12">
        <f ca="1"/>
        <v>-1.7478152309612915E-2</v>
      </c>
      <c r="P74" s="12">
        <f ca="1"/>
        <v>3.7819367865185693E-2</v>
      </c>
      <c r="Q74" s="12">
        <f ca="1"/>
        <v>-6.2566461409105933E-3</v>
      </c>
      <c r="R74" s="12">
        <f ca="1"/>
        <v>-4.9981851179673242E-2</v>
      </c>
      <c r="S74" s="12">
        <f ca="1"/>
        <v>-3.3813747228381263E-2</v>
      </c>
      <c r="T74" s="12">
        <f ca="1"/>
        <v>-4.3091028159790379E-2</v>
      </c>
      <c r="U74" s="12">
        <f ca="1"/>
        <v>2.1183061729404873E-2</v>
      </c>
      <c r="V74" s="12">
        <f ca="1"/>
        <v>-2.1952175617405034E-2</v>
      </c>
      <c r="W74" s="12">
        <f ca="1"/>
        <v>-3.4169589065731198E-3</v>
      </c>
      <c r="X74" s="12">
        <f ca="1"/>
        <v>-1.8404907975460016E-2</v>
      </c>
      <c r="Y74" s="12">
        <f ca="1"/>
        <v>-2.5052972703477616E-2</v>
      </c>
      <c r="Z74" s="12">
        <f ca="1"/>
        <v>0</v>
      </c>
    </row>
    <row r="75" spans="1:26" x14ac:dyDescent="0.2">
      <c r="A75" vm="1209">
        <f ca="1"/>
        <v>46066</v>
      </c>
      <c r="B75" s="13">
        <f ca="1"/>
        <v>-7.1690601158868631E-3</v>
      </c>
      <c r="C75" s="66">
        <f t="shared" ca="1" si="6"/>
        <v>1.0196702530498087</v>
      </c>
      <c r="D75" s="66">
        <f t="shared" ca="1" si="7"/>
        <v>1.046153158588657</v>
      </c>
      <c r="E75" s="13">
        <f t="shared" ca="1" si="5"/>
        <v>-2.5314558696716807E-2</v>
      </c>
      <c r="F75" s="13">
        <f ca="1"/>
        <v>7.0456647144312434E-4</v>
      </c>
      <c r="G75" s="67">
        <f t="shared" ca="1" si="8"/>
        <v>0.99179505084449882</v>
      </c>
      <c r="H75" s="13">
        <f ca="1"/>
        <v>2.1310602024506853E-3</v>
      </c>
      <c r="I75" s="67">
        <f t="shared" ca="1" si="9"/>
        <v>0.94675747518756792</v>
      </c>
      <c r="J75" s="12">
        <f ca="1"/>
        <v>-1.0828457833662042E-2</v>
      </c>
      <c r="K75" s="12">
        <f ca="1"/>
        <v>3.5527690700105641E-3</v>
      </c>
      <c r="L75" s="12">
        <f ca="1"/>
        <v>-8.3717390385183998E-3</v>
      </c>
      <c r="M75" s="12">
        <f ca="1"/>
        <v>-1.8896186196566411E-2</v>
      </c>
      <c r="N75" s="12">
        <f ca="1"/>
        <v>-4.0506329113922934E-3</v>
      </c>
      <c r="O75" s="12">
        <f ca="1"/>
        <v>-2.9224904701397714E-2</v>
      </c>
      <c r="P75" s="12">
        <f ca="1"/>
        <v>1.8706973959892181E-3</v>
      </c>
      <c r="Q75" s="12">
        <f ca="1"/>
        <v>-1.2940473820425291E-3</v>
      </c>
      <c r="R75" s="12">
        <f ca="1"/>
        <v>-2.2733351163412796E-2</v>
      </c>
      <c r="S75" s="12">
        <f ca="1"/>
        <v>-1.8117583114412583E-2</v>
      </c>
      <c r="T75" s="12">
        <f ca="1"/>
        <v>2.313167259786475E-2</v>
      </c>
      <c r="U75" s="12">
        <f ca="1"/>
        <v>1.9642392327253066E-2</v>
      </c>
      <c r="V75" s="12">
        <f ca="1"/>
        <v>-4.0581162324649922E-3</v>
      </c>
      <c r="W75" s="12">
        <f ca="1"/>
        <v>5.4136966525308861E-3</v>
      </c>
      <c r="X75" s="12">
        <f ca="1"/>
        <v>7.3464912280702954E-3</v>
      </c>
      <c r="Y75" s="12">
        <f ca="1"/>
        <v>7.0314497570953538E-3</v>
      </c>
      <c r="Z75" s="12">
        <f ca="1"/>
        <v>0</v>
      </c>
    </row>
    <row r="76" spans="1:26" x14ac:dyDescent="0.2">
      <c r="A76" vm="1225">
        <f ca="1"/>
        <v>46070</v>
      </c>
      <c r="B76" s="13">
        <f ca="1"/>
        <v>2.7548480661448173E-3</v>
      </c>
      <c r="C76" s="66">
        <f t="shared" ca="1" si="6"/>
        <v>1.0224792896745283</v>
      </c>
      <c r="D76" s="66">
        <f t="shared" ca="1" si="7"/>
        <v>1.046153158588657</v>
      </c>
      <c r="E76" s="13">
        <f t="shared" ca="1" si="5"/>
        <v>-2.2629448393643066E-2</v>
      </c>
      <c r="F76" s="13">
        <f ca="1"/>
        <v>1.6134946828016972E-3</v>
      </c>
      <c r="G76" s="67">
        <f t="shared" ca="1" si="8"/>
        <v>0.9933953068854654</v>
      </c>
      <c r="H76" s="13">
        <f ca="1"/>
        <v>-1.0300372142477698E-3</v>
      </c>
      <c r="I76" s="67">
        <f t="shared" ca="1" si="9"/>
        <v>0.94578227975525742</v>
      </c>
      <c r="J76" s="12">
        <f ca="1"/>
        <v>-1.0456832886739376E-2</v>
      </c>
      <c r="K76" s="12">
        <f ca="1"/>
        <v>-5.2478134110787278E-2</v>
      </c>
      <c r="L76" s="12">
        <f ca="1"/>
        <v>3.8374621583592727E-2</v>
      </c>
      <c r="M76" s="12">
        <f ca="1"/>
        <v>1.6676453317674644E-2</v>
      </c>
      <c r="N76" s="12">
        <f ca="1"/>
        <v>1.1184544992374201E-2</v>
      </c>
      <c r="O76" s="12">
        <f ca="1"/>
        <v>0</v>
      </c>
      <c r="P76" s="12">
        <f ca="1"/>
        <v>-3.7642841138247785E-2</v>
      </c>
      <c r="Q76" s="12">
        <f ca="1"/>
        <v>-1.1113326024120407E-2</v>
      </c>
      <c r="R76" s="12">
        <f ca="1"/>
        <v>3.1667839549612831E-2</v>
      </c>
      <c r="S76" s="12">
        <f ca="1"/>
        <v>2.2665067503152114E-2</v>
      </c>
      <c r="T76" s="12">
        <f ca="1"/>
        <v>-1.9531772575250739E-2</v>
      </c>
      <c r="U76" s="12">
        <f ca="1"/>
        <v>-6.3133296677402306E-3</v>
      </c>
      <c r="V76" s="12">
        <f ca="1"/>
        <v>1.1871824538457698E-2</v>
      </c>
      <c r="W76" s="12">
        <f ca="1"/>
        <v>-2.3781746387866898E-2</v>
      </c>
      <c r="X76" s="12">
        <f ca="1"/>
        <v>-1.7361489060629176E-2</v>
      </c>
      <c r="Y76" s="12">
        <f ca="1"/>
        <v>-1.053700647454614E-2</v>
      </c>
      <c r="Z76" s="12">
        <f ca="1"/>
        <v>0</v>
      </c>
    </row>
    <row r="77" spans="1:26" x14ac:dyDescent="0.2">
      <c r="A77" vm="1240">
        <f ca="1"/>
        <v>46071</v>
      </c>
      <c r="B77" s="13">
        <f ca="1"/>
        <v>6.8645885750189062E-3</v>
      </c>
      <c r="C77" s="66">
        <f t="shared" ca="1" si="6"/>
        <v>1.0294981893246216</v>
      </c>
      <c r="D77" s="66">
        <f t="shared" ca="1" si="7"/>
        <v>1.046153158588657</v>
      </c>
      <c r="E77" s="13">
        <f t="shared" ca="1" si="5"/>
        <v>-1.592020167152608E-2</v>
      </c>
      <c r="F77" s="13">
        <f ca="1"/>
        <v>5.037709599472695E-3</v>
      </c>
      <c r="G77" s="67">
        <f t="shared" ca="1" si="8"/>
        <v>0.99839974395903341</v>
      </c>
      <c r="H77" s="13">
        <f ca="1"/>
        <v>7.4671544985864813E-3</v>
      </c>
      <c r="I77" s="67">
        <f t="shared" ca="1" si="9"/>
        <v>0.95284458216021528</v>
      </c>
      <c r="J77" s="12">
        <f ca="1"/>
        <v>3.6985668053628462E-3</v>
      </c>
      <c r="K77" s="12">
        <f ca="1"/>
        <v>4.8901098901098949E-2</v>
      </c>
      <c r="L77" s="12">
        <f ca="1"/>
        <v>-1.3140064879070268E-3</v>
      </c>
      <c r="M77" s="12">
        <f ca="1"/>
        <v>1.7673558969619974E-2</v>
      </c>
      <c r="N77" s="12">
        <f ca="1"/>
        <v>-8.7983911513334068E-4</v>
      </c>
      <c r="O77" s="12">
        <f ca="1"/>
        <v>0</v>
      </c>
      <c r="P77" s="12">
        <f ca="1"/>
        <v>-1.7306946061311557E-2</v>
      </c>
      <c r="Q77" s="12">
        <f ca="1"/>
        <v>6.9041979539383735E-3</v>
      </c>
      <c r="R77" s="12">
        <f ca="1"/>
        <v>1.7811126269517974E-3</v>
      </c>
      <c r="S77" s="12">
        <f ca="1"/>
        <v>2.9169423227279889E-3</v>
      </c>
      <c r="T77" s="12">
        <f ca="1"/>
        <v>2.1967526265520565E-2</v>
      </c>
      <c r="U77" s="12">
        <f ca="1"/>
        <v>-1.5779852774072345E-2</v>
      </c>
      <c r="V77" s="12">
        <f ca="1"/>
        <v>1.8095948297290443E-2</v>
      </c>
      <c r="W77" s="12">
        <f ca="1"/>
        <v>1.5995587424158852E-2</v>
      </c>
      <c r="X77" s="12">
        <f ca="1"/>
        <v>1.8388258100249244E-2</v>
      </c>
      <c r="Y77" s="12">
        <f ca="1"/>
        <v>2.4762637926610376E-2</v>
      </c>
      <c r="Z77" s="12">
        <f ca="1"/>
        <v>0</v>
      </c>
    </row>
    <row r="78" spans="1:26" x14ac:dyDescent="0.2">
      <c r="A78" vm="1255">
        <f ca="1"/>
        <v>46072</v>
      </c>
      <c r="B78" s="13">
        <f ca="1"/>
        <v>-5.1939245569245108E-3</v>
      </c>
      <c r="C78" s="66">
        <f t="shared" ca="1" si="6"/>
        <v>1.0241510533977791</v>
      </c>
      <c r="D78" s="66">
        <f t="shared" ca="1" si="7"/>
        <v>1.046153158588657</v>
      </c>
      <c r="E78" s="13">
        <f t="shared" ca="1" si="5"/>
        <v>-2.1031437902037629E-2</v>
      </c>
      <c r="F78" s="13">
        <f ca="1"/>
        <v>-2.6373690422415441E-3</v>
      </c>
      <c r="G78" s="67">
        <f t="shared" ca="1" si="8"/>
        <v>0.99576659538253398</v>
      </c>
      <c r="H78" s="13">
        <f ca="1"/>
        <v>-3.8297099654994726E-3</v>
      </c>
      <c r="I78" s="67">
        <f t="shared" ca="1" si="9"/>
        <v>0.94919546376834407</v>
      </c>
      <c r="J78" s="12">
        <f ca="1"/>
        <v>-1.2502467592288014E-3</v>
      </c>
      <c r="K78" s="12">
        <f ca="1"/>
        <v>1.7705605028810911E-2</v>
      </c>
      <c r="L78" s="12">
        <f ca="1"/>
        <v>-6.167509559640294E-4</v>
      </c>
      <c r="M78" s="12">
        <f ca="1"/>
        <v>-1.4301929625425536E-2</v>
      </c>
      <c r="N78" s="12">
        <f ca="1"/>
        <v>-7.2965152849414627E-3</v>
      </c>
      <c r="O78" s="12">
        <f ca="1"/>
        <v>-1.5189873417721489E-2</v>
      </c>
      <c r="P78" s="12">
        <f ca="1"/>
        <v>-1.3820881377349603E-2</v>
      </c>
      <c r="Q78" s="12">
        <f ca="1"/>
        <v>-2.8528528528529717E-3</v>
      </c>
      <c r="R78" s="12">
        <f ca="1"/>
        <v>-1.426139587667874E-2</v>
      </c>
      <c r="S78" s="12">
        <f ca="1"/>
        <v>1.4392372042817403E-3</v>
      </c>
      <c r="T78" s="12">
        <f ca="1"/>
        <v>-1.214953271028052E-2</v>
      </c>
      <c r="U78" s="12">
        <f ca="1"/>
        <v>-8.2925066259738056E-3</v>
      </c>
      <c r="V78" s="12">
        <f ca="1"/>
        <v>3.4181356511564509E-4</v>
      </c>
      <c r="W78" s="12">
        <f ca="1"/>
        <v>9.6815056098444874E-3</v>
      </c>
      <c r="X78" s="12">
        <f ca="1"/>
        <v>4.9491488551693941E-3</v>
      </c>
      <c r="Y78" s="12">
        <f ca="1"/>
        <v>6.3853762363839106E-3</v>
      </c>
      <c r="Z78" s="12">
        <f ca="1"/>
        <v>0</v>
      </c>
    </row>
    <row r="79" spans="1:26" x14ac:dyDescent="0.2">
      <c r="A79" vm="1271">
        <f ca="1"/>
        <v>46073</v>
      </c>
      <c r="B79" s="13">
        <f ca="1"/>
        <v>6.0801913558696926E-3</v>
      </c>
      <c r="C79" s="66">
        <f t="shared" ca="1" si="6"/>
        <v>1.030378087779753</v>
      </c>
      <c r="D79" s="66">
        <f t="shared" ca="1" si="7"/>
        <v>1.046153158588657</v>
      </c>
      <c r="E79" s="13">
        <f t="shared" ca="1" si="5"/>
        <v>-1.5079121713101511E-2</v>
      </c>
      <c r="F79" s="13">
        <f ca="1"/>
        <v>7.2317671809256634E-3</v>
      </c>
      <c r="G79" s="67">
        <f t="shared" ca="1" si="8"/>
        <v>1.0029677475668834</v>
      </c>
      <c r="H79" s="13">
        <f ca="1"/>
        <v>8.8488242994679833E-3</v>
      </c>
      <c r="I79" s="67">
        <f t="shared" ca="1" si="9"/>
        <v>0.95759472765308218</v>
      </c>
      <c r="J79" s="12">
        <f ca="1"/>
        <v>3.7356700487547689E-2</v>
      </c>
      <c r="K79" s="12">
        <f ca="1"/>
        <v>-8.122297714638671E-2</v>
      </c>
      <c r="L79" s="12">
        <f ca="1"/>
        <v>2.8388052332757319E-3</v>
      </c>
      <c r="M79" s="12">
        <f ca="1"/>
        <v>1.5085214187010587E-2</v>
      </c>
      <c r="N79" s="12">
        <f ca="1"/>
        <v>1.178557850716011E-2</v>
      </c>
      <c r="O79" s="12">
        <f ca="1"/>
        <v>1.4138817480719768E-2</v>
      </c>
      <c r="P79" s="12">
        <f ca="1"/>
        <v>-1.5055657884199602E-2</v>
      </c>
      <c r="Q79" s="12">
        <f ca="1"/>
        <v>-3.0868845053454441E-3</v>
      </c>
      <c r="R79" s="12">
        <f ca="1"/>
        <v>1.5350372246526911E-2</v>
      </c>
      <c r="S79" s="12">
        <f ca="1"/>
        <v>-4.0120961705440994E-3</v>
      </c>
      <c r="T79" s="12">
        <f ca="1"/>
        <v>5.4737126638735312E-3</v>
      </c>
      <c r="U79" s="12">
        <f ca="1"/>
        <v>-2.5814419631107199E-3</v>
      </c>
      <c r="V79" s="12">
        <f ca="1"/>
        <v>2.5627257639363465E-2</v>
      </c>
      <c r="W79" s="12">
        <f ca="1"/>
        <v>-9.4990590554709931E-3</v>
      </c>
      <c r="X79" s="12">
        <f ca="1"/>
        <v>-4.6000649420933071E-3</v>
      </c>
      <c r="Y79" s="12">
        <f ca="1"/>
        <v>-7.464543418760794E-3</v>
      </c>
      <c r="Z79" s="12">
        <f ca="1"/>
        <v>0</v>
      </c>
    </row>
    <row r="80" spans="1:26" x14ac:dyDescent="0.2">
      <c r="A80" vm="1287">
        <f ca="1"/>
        <v>46076</v>
      </c>
      <c r="B80" s="13">
        <f ca="1"/>
        <v>-5.3505047205849587E-3</v>
      </c>
      <c r="C80" s="66">
        <f t="shared" ca="1" si="6"/>
        <v>1.0248650449571002</v>
      </c>
      <c r="D80" s="66">
        <f t="shared" ca="1" si="7"/>
        <v>1.046153158588657</v>
      </c>
      <c r="E80" s="13">
        <f t="shared" ca="1" si="5"/>
        <v>-2.0348945521778232E-2</v>
      </c>
      <c r="F80" s="13">
        <f ca="1"/>
        <v>-1.0211334000551076E-2</v>
      </c>
      <c r="G80" s="67">
        <f t="shared" ca="1" si="8"/>
        <v>0.99272610890469759</v>
      </c>
      <c r="H80" s="13">
        <f ca="1"/>
        <v>-1.2154859479969082E-2</v>
      </c>
      <c r="I80" s="67">
        <f t="shared" ca="1" si="9"/>
        <v>0.94595529829969971</v>
      </c>
      <c r="J80" s="12">
        <f ca="1"/>
        <v>-1.0193712289615742E-2</v>
      </c>
      <c r="K80" s="12">
        <f ca="1"/>
        <v>1.7815126050420238E-2</v>
      </c>
      <c r="L80" s="12">
        <f ca="1"/>
        <v>6.8512820512820483E-3</v>
      </c>
      <c r="M80" s="12">
        <f ca="1"/>
        <v>-8.5082246171298559E-3</v>
      </c>
      <c r="N80" s="12">
        <f ca="1"/>
        <v>9.0180360721443531E-3</v>
      </c>
      <c r="O80" s="12">
        <f ca="1"/>
        <v>3.8022813688212143E-3</v>
      </c>
      <c r="P80" s="12">
        <f ca="1"/>
        <v>2.29286933897066E-2</v>
      </c>
      <c r="Q80" s="12">
        <f ca="1"/>
        <v>-3.2122447952068089E-2</v>
      </c>
      <c r="R80" s="12">
        <f ca="1"/>
        <v>6.0473202812005855E-3</v>
      </c>
      <c r="S80" s="12">
        <f ca="1"/>
        <v>-6.9442356831505014E-3</v>
      </c>
      <c r="T80" s="12">
        <f ca="1"/>
        <v>-3.8376234962026912E-2</v>
      </c>
      <c r="U80" s="12">
        <f ca="1"/>
        <v>7.6121266251893971E-4</v>
      </c>
      <c r="V80" s="12">
        <f ca="1"/>
        <v>-2.3035552805673265E-2</v>
      </c>
      <c r="W80" s="12">
        <f ca="1"/>
        <v>-5.8807563557405906E-3</v>
      </c>
      <c r="X80" s="12">
        <f ca="1"/>
        <v>5.3281139563963187E-3</v>
      </c>
      <c r="Y80" s="12">
        <f ca="1"/>
        <v>2.381549260466187E-3</v>
      </c>
      <c r="Z80" s="12">
        <f ca="1"/>
        <v>0</v>
      </c>
    </row>
    <row r="81" spans="1:26" x14ac:dyDescent="0.2">
      <c r="A81" vm="1300">
        <f ca="1"/>
        <v>46077</v>
      </c>
      <c r="B81" s="13">
        <f ca="1"/>
        <v>1.3425101297963928E-2</v>
      </c>
      <c r="C81" s="66">
        <f t="shared" ca="1" si="6"/>
        <v>1.0386239620023918</v>
      </c>
      <c r="D81" s="66">
        <f t="shared" ca="1" si="7"/>
        <v>1.046153158588657</v>
      </c>
      <c r="E81" s="13">
        <f t="shared" ca="1" si="5"/>
        <v>-7.1970308787507199E-3</v>
      </c>
      <c r="F81" s="13">
        <f ca="1"/>
        <v>7.2685707586570558E-3</v>
      </c>
      <c r="G81" s="67">
        <f t="shared" ca="1" si="8"/>
        <v>0.99994180887123763</v>
      </c>
      <c r="H81" s="13">
        <f ca="1"/>
        <v>1.0741424319515858E-2</v>
      </c>
      <c r="I81" s="67">
        <f t="shared" ca="1" si="9"/>
        <v>0.95611620554603094</v>
      </c>
      <c r="J81" s="12">
        <f ca="1"/>
        <v>-2.4704032853154478E-3</v>
      </c>
      <c r="K81" s="12">
        <f ca="1"/>
        <v>9.3130779392338159E-2</v>
      </c>
      <c r="L81" s="12">
        <f ca="1"/>
        <v>3.1497025507293719E-2</v>
      </c>
      <c r="M81" s="12">
        <f ca="1"/>
        <v>5.4919908466817269E-3</v>
      </c>
      <c r="N81" s="12">
        <f ca="1"/>
        <v>1.9860973187686426E-3</v>
      </c>
      <c r="O81" s="12">
        <f ca="1"/>
        <v>4.6717171717171713E-2</v>
      </c>
      <c r="P81" s="12">
        <f ca="1"/>
        <v>7.4715841348065304E-3</v>
      </c>
      <c r="Q81" s="12">
        <f ca="1"/>
        <v>1.1782453767523959E-2</v>
      </c>
      <c r="R81" s="12">
        <f ca="1"/>
        <v>2.2390863325569166E-2</v>
      </c>
      <c r="S81" s="12">
        <f ca="1"/>
        <v>-1.4681842949688106E-2</v>
      </c>
      <c r="T81" s="12">
        <f ca="1"/>
        <v>5.3117137265865644E-3</v>
      </c>
      <c r="U81" s="12">
        <f ca="1"/>
        <v>1.258595160341569E-2</v>
      </c>
      <c r="V81" s="12">
        <f ca="1"/>
        <v>1.6027670872509336E-2</v>
      </c>
      <c r="W81" s="12">
        <f ca="1"/>
        <v>6.4615944666910341E-3</v>
      </c>
      <c r="X81" s="12">
        <f ca="1"/>
        <v>2.3254556270617677E-3</v>
      </c>
      <c r="Y81" s="12">
        <f ca="1"/>
        <v>1.0128798299362307E-2</v>
      </c>
      <c r="Z81" s="12">
        <f ca="1"/>
        <v>0</v>
      </c>
    </row>
    <row r="82" spans="1:26" x14ac:dyDescent="0.2">
      <c r="A82" vm="1315">
        <f ca="1"/>
        <v>46078</v>
      </c>
      <c r="B82" s="13">
        <f ca="1"/>
        <v>1.5496579987175888E-2</v>
      </c>
      <c r="C82" s="66">
        <f t="shared" ca="1" si="6"/>
        <v>1.0547190813061593</v>
      </c>
      <c r="D82" s="66">
        <f t="shared" ca="1" si="7"/>
        <v>1.0547190813061593</v>
      </c>
      <c r="E82" s="13">
        <f t="shared" ca="1" si="5"/>
        <v>0</v>
      </c>
      <c r="F82" s="13">
        <f ca="1"/>
        <v>8.4382046992070858E-3</v>
      </c>
      <c r="G82" s="67">
        <f t="shared" ca="1" si="8"/>
        <v>1.0083795225417886</v>
      </c>
      <c r="H82" s="13">
        <f ca="1"/>
        <v>1.4493230460460138E-2</v>
      </c>
      <c r="I82" s="67">
        <f t="shared" ca="1" si="9"/>
        <v>0.96997341805999027</v>
      </c>
      <c r="J82" s="12">
        <f ca="1"/>
        <v>6.7863115914059691E-3</v>
      </c>
      <c r="K82" s="12">
        <f ca="1"/>
        <v>-1.2990936555891119E-2</v>
      </c>
      <c r="L82" s="12">
        <f ca="1"/>
        <v>3.5710053328066316E-2</v>
      </c>
      <c r="M82" s="12">
        <f ca="1"/>
        <v>7.1916249431042356E-2</v>
      </c>
      <c r="N82" s="12">
        <f ca="1"/>
        <v>-3.0971258671952384E-3</v>
      </c>
      <c r="O82" s="12">
        <f ca="1"/>
        <v>-6.0313630880577396E-3</v>
      </c>
      <c r="P82" s="12">
        <f ca="1"/>
        <v>-7.8895463510848529E-3</v>
      </c>
      <c r="Q82" s="12">
        <f ca="1"/>
        <v>2.9820051413881776E-2</v>
      </c>
      <c r="R82" s="12">
        <f ca="1"/>
        <v>7.6798706548102391E-3</v>
      </c>
      <c r="S82" s="12">
        <f ca="1"/>
        <v>2.0953024670496756E-2</v>
      </c>
      <c r="T82" s="12">
        <f ca="1"/>
        <v>2.4054505005561833E-2</v>
      </c>
      <c r="U82" s="12">
        <f ca="1"/>
        <v>-3.6757709604078315E-3</v>
      </c>
      <c r="V82" s="12">
        <f ca="1"/>
        <v>9.9731492136554412E-3</v>
      </c>
      <c r="W82" s="12">
        <f ca="1"/>
        <v>-5.244597160683595E-3</v>
      </c>
      <c r="X82" s="12">
        <f ca="1"/>
        <v>-6.0429480953922976E-3</v>
      </c>
      <c r="Y82" s="12">
        <f ca="1"/>
        <v>1.8568952711067066E-2</v>
      </c>
      <c r="Z82" s="12">
        <f ca="1"/>
        <v>0</v>
      </c>
    </row>
    <row r="83" spans="1:26" x14ac:dyDescent="0.2">
      <c r="A83" vm="1331">
        <f ca="1"/>
        <v>46079</v>
      </c>
      <c r="B83" s="13">
        <f ca="1"/>
        <v>-4.5313179547169929E-3</v>
      </c>
      <c r="C83" s="66">
        <f t="shared" ca="1" si="6"/>
        <v>1.0499398137958542</v>
      </c>
      <c r="D83" s="66">
        <f t="shared" ca="1" si="7"/>
        <v>1.0547190813061593</v>
      </c>
      <c r="E83" s="13">
        <f t="shared" ca="1" si="5"/>
        <v>-4.5313179547168941E-3</v>
      </c>
      <c r="F83" s="13">
        <f ca="1"/>
        <v>-5.5543533145784307E-3</v>
      </c>
      <c r="G83" s="67">
        <f t="shared" ca="1" si="8"/>
        <v>1.0027786263984055</v>
      </c>
      <c r="H83" s="13">
        <f ca="1"/>
        <v>-1.2064604008561908E-2</v>
      </c>
      <c r="I83" s="67">
        <f t="shared" ca="1" si="9"/>
        <v>0.95827107287226521</v>
      </c>
      <c r="J83" s="12">
        <f ca="1"/>
        <v>-1.8784142095006895E-2</v>
      </c>
      <c r="K83" s="12">
        <f ca="1"/>
        <v>-3.8771553923070412E-3</v>
      </c>
      <c r="L83" s="12">
        <f ca="1"/>
        <v>-1.1289522865097767E-2</v>
      </c>
      <c r="M83" s="12">
        <f ca="1"/>
        <v>3.1847133757960666E-3</v>
      </c>
      <c r="N83" s="12">
        <f ca="1"/>
        <v>3.7280974276132639E-4</v>
      </c>
      <c r="O83" s="12">
        <f ca="1"/>
        <v>6.0679611650484855E-3</v>
      </c>
      <c r="P83" s="12">
        <f ca="1"/>
        <v>-1.0576540755467212E-2</v>
      </c>
      <c r="Q83" s="12">
        <f ca="1"/>
        <v>2.7958062905641956E-3</v>
      </c>
      <c r="R83" s="12">
        <f ca="1"/>
        <v>-4.6676147759181497E-3</v>
      </c>
      <c r="S83" s="12">
        <f ca="1"/>
        <v>-3.1928019018386489E-2</v>
      </c>
      <c r="T83" s="12">
        <f ca="1"/>
        <v>1.2355736591989075E-2</v>
      </c>
      <c r="U83" s="12">
        <f ca="1"/>
        <v>-8.0622461699304537E-3</v>
      </c>
      <c r="V83" s="12">
        <f ca="1"/>
        <v>-1.2913026965438612E-2</v>
      </c>
      <c r="W83" s="12">
        <f ca="1"/>
        <v>6.2721570766293144E-3</v>
      </c>
      <c r="X83" s="12">
        <f ca="1"/>
        <v>-3.2569753555533598E-4</v>
      </c>
      <c r="Y83" s="12">
        <f ca="1"/>
        <v>-1.3368983957219194E-2</v>
      </c>
      <c r="Z83" s="12">
        <f ca="1"/>
        <v>0</v>
      </c>
    </row>
    <row r="84" spans="1:26" x14ac:dyDescent="0.2">
      <c r="A84" vm="1346">
        <f ca="1"/>
        <v>46080</v>
      </c>
      <c r="B84" s="13">
        <f ca="1"/>
        <v>-1.37367267008312E-2</v>
      </c>
      <c r="C84" s="66">
        <f t="shared" ca="1" si="6"/>
        <v>1.0355170775214191</v>
      </c>
      <c r="D84" s="66">
        <f t="shared" ca="1" si="7"/>
        <v>1.0547190813061593</v>
      </c>
      <c r="E84" s="13">
        <f t="shared" ca="1" si="5"/>
        <v>-1.8205799179209468E-2</v>
      </c>
      <c r="F84" s="13">
        <f ca="1"/>
        <v>-4.8019730161031893E-3</v>
      </c>
      <c r="G84" s="67">
        <f t="shared" ca="1" si="8"/>
        <v>0.99796331049331533</v>
      </c>
      <c r="H84" s="13">
        <f ca="1"/>
        <v>-3.2007090801655647E-3</v>
      </c>
      <c r="I84" s="67">
        <f t="shared" ca="1" si="9"/>
        <v>0.95520392594806292</v>
      </c>
      <c r="J84" s="12">
        <f ca="1"/>
        <v>1.3934559661403334E-2</v>
      </c>
      <c r="K84" s="12">
        <f ca="1"/>
        <v>-0.18508655126497997</v>
      </c>
      <c r="L84" s="12">
        <f ca="1"/>
        <v>-1.6741889441808544E-2</v>
      </c>
      <c r="M84" s="12">
        <f ca="1"/>
        <v>-1.4179894179894181E-2</v>
      </c>
      <c r="N84" s="12">
        <f ca="1"/>
        <v>1.3167701863354031E-2</v>
      </c>
      <c r="O84" s="12">
        <f ca="1"/>
        <v>-9.0470446320868425E-2</v>
      </c>
      <c r="P84" s="12">
        <f ca="1"/>
        <v>2.8371644430155829E-2</v>
      </c>
      <c r="Q84" s="12">
        <f ca="1"/>
        <v>-2.235387832321023E-2</v>
      </c>
      <c r="R84" s="12">
        <f ca="1"/>
        <v>-3.2130426818098523E-2</v>
      </c>
      <c r="S84" s="12">
        <f ca="1"/>
        <v>-6.6832452595585456E-3</v>
      </c>
      <c r="T84" s="12">
        <f ca="1"/>
        <v>-4.5198497854077258E-2</v>
      </c>
      <c r="U84" s="12">
        <f ca="1"/>
        <v>2.4373188479234642E-2</v>
      </c>
      <c r="V84" s="12">
        <f ca="1"/>
        <v>1.0003847633705432E-2</v>
      </c>
      <c r="W84" s="12">
        <f ca="1"/>
        <v>2.493224932249305E-2</v>
      </c>
      <c r="X84" s="12">
        <f ca="1"/>
        <v>1.4118158123370916E-2</v>
      </c>
      <c r="Y84" s="12">
        <f ca="1"/>
        <v>2.8701650652870114E-2</v>
      </c>
      <c r="Z84" s="12">
        <f ca="1"/>
        <v>0</v>
      </c>
    </row>
    <row r="85" spans="1:26" x14ac:dyDescent="0.2">
      <c r="A85" vm="1362">
        <f ca="1"/>
        <v>46083</v>
      </c>
      <c r="B85" s="13">
        <f ca="1"/>
        <v>-4.5099966501137637E-4</v>
      </c>
      <c r="C85" s="66">
        <f t="shared" ca="1" si="6"/>
        <v>1.0350500596663434</v>
      </c>
      <c r="D85" s="66">
        <f t="shared" ca="1" si="7"/>
        <v>1.0547190813061593</v>
      </c>
      <c r="E85" s="13">
        <f t="shared" ca="1" si="5"/>
        <v>-1.8648588034889679E-2</v>
      </c>
      <c r="F85" s="13">
        <f ca="1"/>
        <v>5.6852140701768583E-4</v>
      </c>
      <c r="G85" s="67">
        <f t="shared" ca="1" si="8"/>
        <v>0.99853067399874906</v>
      </c>
      <c r="H85" s="13">
        <f ca="1"/>
        <v>1.3173278005567113E-3</v>
      </c>
      <c r="I85" s="67">
        <f t="shared" ca="1" si="9"/>
        <v>0.95646224263491519</v>
      </c>
      <c r="J85" s="12">
        <f ca="1"/>
        <v>-1.6279741836046635E-2</v>
      </c>
      <c r="K85" s="12">
        <f ca="1"/>
        <v>-1.8979386626445494E-2</v>
      </c>
      <c r="L85" s="12">
        <f ca="1"/>
        <v>1.1220526501628303E-2</v>
      </c>
      <c r="M85" s="12">
        <f ca="1"/>
        <v>-3.6818376985830792E-2</v>
      </c>
      <c r="N85" s="12">
        <f ca="1"/>
        <v>-1.6429622363903884E-2</v>
      </c>
      <c r="O85" s="12">
        <f ca="1"/>
        <v>1.3262599469495928E-2</v>
      </c>
      <c r="P85" s="12">
        <f ca="1"/>
        <v>-6.6432200078155867E-3</v>
      </c>
      <c r="Q85" s="12">
        <f ca="1"/>
        <v>1.4793502062433239E-2</v>
      </c>
      <c r="R85" s="12">
        <f ca="1"/>
        <v>2.0440608675904581E-3</v>
      </c>
      <c r="S85" s="12">
        <f ca="1"/>
        <v>-2.2844625254264672E-3</v>
      </c>
      <c r="T85" s="12">
        <f ca="1"/>
        <v>6.7425200168562682E-3</v>
      </c>
      <c r="U85" s="12">
        <f ca="1"/>
        <v>-7.9343879539766071E-3</v>
      </c>
      <c r="V85" s="12">
        <f ca="1"/>
        <v>-7.6666666666667105E-3</v>
      </c>
      <c r="W85" s="12">
        <f ca="1"/>
        <v>4.2129384805217773E-2</v>
      </c>
      <c r="X85" s="12">
        <f ca="1"/>
        <v>1.520668237309919E-2</v>
      </c>
      <c r="Y85" s="12">
        <f ca="1"/>
        <v>8.5019758112800936E-3</v>
      </c>
      <c r="Z85" s="12">
        <f ca="1"/>
        <v>0</v>
      </c>
    </row>
    <row r="86" spans="1:26" x14ac:dyDescent="0.2">
      <c r="A86" vm="1378">
        <f ca="1"/>
        <v>46084</v>
      </c>
      <c r="B86" s="13">
        <f ca="1"/>
        <v>-1.189145004830815E-2</v>
      </c>
      <c r="C86" s="66">
        <f t="shared" ca="1" si="6"/>
        <v>1.0227418135843227</v>
      </c>
      <c r="D86" s="66">
        <f t="shared" ca="1" si="7"/>
        <v>1.0547190813061593</v>
      </c>
      <c r="E86" s="13">
        <f t="shared" ca="1" si="5"/>
        <v>-3.0318279330109509E-2</v>
      </c>
      <c r="F86" s="13">
        <f ca="1"/>
        <v>-8.8143593927560993E-3</v>
      </c>
      <c r="G86" s="67">
        <f t="shared" ca="1" si="8"/>
        <v>0.98972926577343312</v>
      </c>
      <c r="H86" s="13">
        <f ca="1"/>
        <v>-1.0705652123863207E-2</v>
      </c>
      <c r="I86" s="67">
        <f t="shared" ca="1" si="9"/>
        <v>0.94622269059565578</v>
      </c>
      <c r="J86" s="12">
        <f ca="1"/>
        <v>-9.1395743569656629E-3</v>
      </c>
      <c r="K86" s="12">
        <f ca="1"/>
        <v>-5.4708520179372111E-2</v>
      </c>
      <c r="L86" s="12">
        <f ca="1"/>
        <v>-5.1639185257032039E-2</v>
      </c>
      <c r="M86" s="12">
        <f ca="1"/>
        <v>-4.7252869720271984E-2</v>
      </c>
      <c r="N86" s="12">
        <f ca="1"/>
        <v>-1.0969832959361714E-2</v>
      </c>
      <c r="O86" s="12">
        <f ca="1"/>
        <v>-1.8324607329842868E-2</v>
      </c>
      <c r="P86" s="12">
        <f ca="1"/>
        <v>6.3729346970888834E-3</v>
      </c>
      <c r="Q86" s="12">
        <f ca="1"/>
        <v>1.349893363442467E-2</v>
      </c>
      <c r="R86" s="12">
        <f ca="1"/>
        <v>-3.6642490178302456E-3</v>
      </c>
      <c r="S86" s="12">
        <f ca="1"/>
        <v>-1.5620099115488451E-2</v>
      </c>
      <c r="T86" s="12">
        <f ca="1"/>
        <v>-3.1672945444397915E-2</v>
      </c>
      <c r="U86" s="12">
        <f ca="1"/>
        <v>4.986188258523816E-3</v>
      </c>
      <c r="V86" s="12">
        <f ca="1"/>
        <v>1.6315562167090736E-3</v>
      </c>
      <c r="W86" s="12">
        <f ca="1"/>
        <v>2.3680649526387487E-3</v>
      </c>
      <c r="X86" s="12">
        <f ca="1"/>
        <v>-4.3776371308016371E-3</v>
      </c>
      <c r="Y86" s="12">
        <f ca="1"/>
        <v>-2.2441225362146766E-2</v>
      </c>
      <c r="Z86" s="12">
        <f ca="1"/>
        <v>0</v>
      </c>
    </row>
    <row r="87" spans="1:26" x14ac:dyDescent="0.2">
      <c r="A87" vm="1393">
        <f ca="1"/>
        <v>46085</v>
      </c>
      <c r="B87" s="13">
        <f ca="1"/>
        <v>9.2834218573497641E-3</v>
      </c>
      <c r="C87" s="66">
        <f t="shared" ca="1" si="6"/>
        <v>1.032236357290977</v>
      </c>
      <c r="D87" s="66">
        <f t="shared" ca="1" si="7"/>
        <v>1.0547190813061593</v>
      </c>
      <c r="E87" s="13">
        <f t="shared" ca="1" si="5"/>
        <v>-2.1316314849770104E-2</v>
      </c>
      <c r="F87" s="13">
        <f ca="1"/>
        <v>7.0553995854951701E-3</v>
      </c>
      <c r="G87" s="67">
        <f t="shared" ca="1" si="8"/>
        <v>0.99671220122492343</v>
      </c>
      <c r="H87" s="13">
        <f ca="1"/>
        <v>1.5243192925296745E-2</v>
      </c>
      <c r="I87" s="67">
        <f t="shared" ca="1" si="9"/>
        <v>0.96064614561869877</v>
      </c>
      <c r="J87" s="12">
        <f ca="1"/>
        <v>-3.6236658321253667E-4</v>
      </c>
      <c r="K87" s="12">
        <f ca="1"/>
        <v>7.752778530767146E-2</v>
      </c>
      <c r="L87" s="12">
        <f ca="1"/>
        <v>2.7982326951399239E-2</v>
      </c>
      <c r="M87" s="12">
        <f ca="1"/>
        <v>1.9885366709556651E-2</v>
      </c>
      <c r="N87" s="12">
        <f ca="1"/>
        <v>-1.5628938744643439E-2</v>
      </c>
      <c r="O87" s="12">
        <f ca="1"/>
        <v>6.5333333333333465E-2</v>
      </c>
      <c r="P87" s="12">
        <f ca="1"/>
        <v>-7.8179970291603063E-4</v>
      </c>
      <c r="Q87" s="12">
        <f ca="1"/>
        <v>3.1441091278190392E-3</v>
      </c>
      <c r="R87" s="12">
        <f ca="1"/>
        <v>-4.6635071090047608E-3</v>
      </c>
      <c r="S87" s="12">
        <f ca="1"/>
        <v>1.1757583482029155E-2</v>
      </c>
      <c r="T87" s="12">
        <f ca="1"/>
        <v>-3.6023054755043304E-3</v>
      </c>
      <c r="U87" s="12">
        <f ca="1"/>
        <v>-1.0220586046418845E-3</v>
      </c>
      <c r="V87" s="12">
        <f ca="1"/>
        <v>3.8758204378862571E-2</v>
      </c>
      <c r="W87" s="12">
        <f ca="1"/>
        <v>-2.421532230847101E-2</v>
      </c>
      <c r="X87" s="12">
        <f ca="1"/>
        <v>-1.4515018276209157E-2</v>
      </c>
      <c r="Y87" s="12">
        <f ca="1"/>
        <v>4.4941090732419919E-3</v>
      </c>
      <c r="Z87" s="12">
        <f ca="1"/>
        <v>0</v>
      </c>
    </row>
    <row r="88" spans="1:26" x14ac:dyDescent="0.2">
      <c r="A88" vm="1409">
        <f ca="1"/>
        <v>46086</v>
      </c>
      <c r="B88" s="13">
        <f ca="1"/>
        <v>-4.5970533514128747E-3</v>
      </c>
      <c r="C88" s="66">
        <f t="shared" ca="1" si="6"/>
        <v>1.0274911116852423</v>
      </c>
      <c r="D88" s="66">
        <f t="shared" ca="1" si="7"/>
        <v>1.0547190813061593</v>
      </c>
      <c r="E88" s="13">
        <f t="shared" ca="1" si="5"/>
        <v>-2.5815375964563007E-2</v>
      </c>
      <c r="F88" s="13">
        <f ca="1"/>
        <v>-5.5755841957001451E-3</v>
      </c>
      <c r="G88" s="67">
        <f t="shared" ca="1" si="8"/>
        <v>0.99115494842811225</v>
      </c>
      <c r="H88" s="13">
        <f ca="1"/>
        <v>-3.0126893164142965E-3</v>
      </c>
      <c r="I88" s="67">
        <f t="shared" ca="1" si="9"/>
        <v>0.95775201723893877</v>
      </c>
      <c r="J88" s="12">
        <f ca="1"/>
        <v>-8.3704069863238528E-3</v>
      </c>
      <c r="K88" s="12">
        <f ca="1"/>
        <v>-5.8867924528301918E-2</v>
      </c>
      <c r="L88" s="12">
        <f ca="1"/>
        <v>-6.0888252148997291E-3</v>
      </c>
      <c r="M88" s="12">
        <f ca="1"/>
        <v>-1.6515655465076273E-2</v>
      </c>
      <c r="N88" s="12">
        <f ca="1"/>
        <v>-1.3700384122919296E-2</v>
      </c>
      <c r="O88" s="12">
        <f ca="1"/>
        <v>-3.8798498122653347E-2</v>
      </c>
      <c r="P88" s="12">
        <f ca="1"/>
        <v>-3.5208512635943934E-2</v>
      </c>
      <c r="Q88" s="12">
        <f ca="1"/>
        <v>1.3524185587364235E-2</v>
      </c>
      <c r="R88" s="12">
        <f ca="1"/>
        <v>-8.4945908883131693E-3</v>
      </c>
      <c r="S88" s="12">
        <f ca="1"/>
        <v>4.7995464995433501E-2</v>
      </c>
      <c r="T88" s="12">
        <f ca="1"/>
        <v>-1.5907447577729661E-2</v>
      </c>
      <c r="U88" s="12">
        <f ca="1"/>
        <v>-2.4008184834217294E-2</v>
      </c>
      <c r="V88" s="12">
        <f ca="1"/>
        <v>9.7776957845217005E-3</v>
      </c>
      <c r="W88" s="12">
        <f ca="1"/>
        <v>1.0116731517509692E-2</v>
      </c>
      <c r="X88" s="12">
        <f ca="1"/>
        <v>2.0803096274794486E-2</v>
      </c>
      <c r="Y88" s="12">
        <f ca="1"/>
        <v>2.9020556227326022E-3</v>
      </c>
      <c r="Z88" s="12">
        <f ca="1"/>
        <v>0</v>
      </c>
    </row>
    <row r="89" spans="1:26" x14ac:dyDescent="0.2">
      <c r="A89" vm="1424">
        <f ca="1"/>
        <v>46087</v>
      </c>
      <c r="B89" s="13">
        <f ca="1"/>
        <v>-8.3052689491849522E-3</v>
      </c>
      <c r="C89" s="66">
        <f t="shared" ca="1" si="6"/>
        <v>1.0189575216597995</v>
      </c>
      <c r="D89" s="66">
        <f t="shared" ca="1" si="7"/>
        <v>1.0547190813061593</v>
      </c>
      <c r="E89" s="13">
        <f t="shared" ca="1" si="5"/>
        <v>-3.3906241273337828E-2</v>
      </c>
      <c r="F89" s="13">
        <f ca="1"/>
        <v>-1.3107102493725264E-2</v>
      </c>
      <c r="G89" s="67">
        <f t="shared" ca="1" si="8"/>
        <v>0.97816377893190198</v>
      </c>
      <c r="H89" s="13">
        <f ca="1"/>
        <v>-1.5043274047067623E-2</v>
      </c>
      <c r="I89" s="67">
        <f t="shared" ca="1" si="9"/>
        <v>0.9433442911744816</v>
      </c>
      <c r="J89" s="12">
        <f ca="1"/>
        <v>-8.6736898075837621E-3</v>
      </c>
      <c r="K89" s="12">
        <f ca="1"/>
        <v>-2.4458700882117101E-2</v>
      </c>
      <c r="L89" s="12">
        <f ca="1"/>
        <v>-3.1911911911911894E-2</v>
      </c>
      <c r="M89" s="12">
        <f ca="1"/>
        <v>-1.9825072886297423E-2</v>
      </c>
      <c r="N89" s="12">
        <f ca="1"/>
        <v>1.2981955082436158E-4</v>
      </c>
      <c r="O89" s="12">
        <f ca="1"/>
        <v>-6.5104166666666297E-3</v>
      </c>
      <c r="P89" s="12">
        <f ca="1"/>
        <v>3.9737247587381397E-3</v>
      </c>
      <c r="Q89" s="12">
        <f ca="1"/>
        <v>-4.1881757085809879E-3</v>
      </c>
      <c r="R89" s="12">
        <f ca="1"/>
        <v>-1.0872488378347422E-2</v>
      </c>
      <c r="S89" s="12">
        <f ca="1"/>
        <v>-6.8816299546231585E-3</v>
      </c>
      <c r="T89" s="12">
        <f ca="1"/>
        <v>-1.9838354151359261E-2</v>
      </c>
      <c r="U89" s="12">
        <f ca="1"/>
        <v>1.5805489685213336E-2</v>
      </c>
      <c r="V89" s="12">
        <f ca="1"/>
        <v>-2.6171553850369955E-2</v>
      </c>
      <c r="W89" s="12">
        <f ca="1"/>
        <v>2.1400445129258205E-3</v>
      </c>
      <c r="X89" s="12">
        <f ca="1"/>
        <v>2.106371774617255E-4</v>
      </c>
      <c r="Y89" s="12">
        <f ca="1"/>
        <v>2.1220159151193796E-2</v>
      </c>
      <c r="Z89" s="12">
        <f ca="1"/>
        <v>0</v>
      </c>
    </row>
    <row r="90" spans="1:26" x14ac:dyDescent="0.2">
      <c r="A90" vm="1440">
        <f ca="1"/>
        <v>46090</v>
      </c>
      <c r="B90" s="13">
        <f ca="1"/>
        <v>1.4314903982719406E-2</v>
      </c>
      <c r="C90" s="66">
        <f t="shared" ca="1" si="6"/>
        <v>1.0335438007448294</v>
      </c>
      <c r="D90" s="66">
        <f t="shared" ca="1" si="7"/>
        <v>1.0547190813061593</v>
      </c>
      <c r="E90" s="13">
        <f t="shared" ca="1" si="5"/>
        <v>-2.0076701878860976E-2</v>
      </c>
      <c r="F90" s="13">
        <f ca="1"/>
        <v>8.7599274219933854E-3</v>
      </c>
      <c r="G90" s="67">
        <f t="shared" ca="1" si="8"/>
        <v>0.98673242264216821</v>
      </c>
      <c r="H90" s="13">
        <f ca="1"/>
        <v>1.3355564818674504E-2</v>
      </c>
      <c r="I90" s="67">
        <f t="shared" ca="1" si="9"/>
        <v>0.95594318700158898</v>
      </c>
      <c r="J90" s="12">
        <f ca="1"/>
        <v>2.584646329198792E-2</v>
      </c>
      <c r="K90" s="12">
        <f ca="1"/>
        <v>1.9454719824633537E-2</v>
      </c>
      <c r="L90" s="12">
        <f ca="1"/>
        <v>9.3349325833402386E-2</v>
      </c>
      <c r="M90" s="12">
        <f ca="1"/>
        <v>1.713265913146933E-2</v>
      </c>
      <c r="N90" s="12">
        <f ca="1"/>
        <v>9.8650051921078674E-3</v>
      </c>
      <c r="O90" s="12">
        <f ca="1"/>
        <v>-3.9318479685452878E-3</v>
      </c>
      <c r="P90" s="12">
        <f ca="1"/>
        <v>4.3618739903070747E-3</v>
      </c>
      <c r="Q90" s="12">
        <f ca="1"/>
        <v>1.1003521126762283E-3</v>
      </c>
      <c r="R90" s="12">
        <f ca="1"/>
        <v>9.3995183717858755E-3</v>
      </c>
      <c r="S90" s="12">
        <f ca="1"/>
        <v>4.6205519244734816E-2</v>
      </c>
      <c r="T90" s="12">
        <f ca="1"/>
        <v>1.1844077961019384E-2</v>
      </c>
      <c r="U90" s="12">
        <f ca="1"/>
        <v>7.2137060414787513E-3</v>
      </c>
      <c r="V90" s="12">
        <f ca="1"/>
        <v>1.3132592279911925E-3</v>
      </c>
      <c r="W90" s="12">
        <f ca="1"/>
        <v>-3.4167592038947259E-4</v>
      </c>
      <c r="X90" s="12">
        <f ca="1"/>
        <v>-2.6324102348109779E-3</v>
      </c>
      <c r="Y90" s="12">
        <f ca="1"/>
        <v>1.0507674144037749E-2</v>
      </c>
      <c r="Z90" s="12">
        <f ca="1"/>
        <v>0</v>
      </c>
    </row>
    <row r="91" spans="1:26" x14ac:dyDescent="0.2">
      <c r="A91" vm="1454">
        <f ca="1"/>
        <v>46091</v>
      </c>
      <c r="B91" s="13">
        <f ca="1"/>
        <v>7.1976366566455852E-4</v>
      </c>
      <c r="C91" s="66">
        <f t="shared" ca="1" si="6"/>
        <v>1.0342877080194786</v>
      </c>
      <c r="D91" s="66">
        <f t="shared" ca="1" si="7"/>
        <v>1.0547190813061593</v>
      </c>
      <c r="E91" s="13">
        <f t="shared" ca="1" si="5"/>
        <v>-1.9371388693735062E-2</v>
      </c>
      <c r="F91" s="13">
        <f ca="1"/>
        <v>-1.6070296489598679E-3</v>
      </c>
      <c r="G91" s="67">
        <f t="shared" ca="1" si="8"/>
        <v>0.9851467143833923</v>
      </c>
      <c r="H91" s="13">
        <f ca="1"/>
        <v>1.6453863367127397E-5</v>
      </c>
      <c r="I91" s="67">
        <f t="shared" ca="1" si="9"/>
        <v>0.95595891596017468</v>
      </c>
      <c r="J91" s="12">
        <f ca="1"/>
        <v>3.0064376981144836E-3</v>
      </c>
      <c r="K91" s="12">
        <f ca="1"/>
        <v>6.8539174842092709E-3</v>
      </c>
      <c r="L91" s="12">
        <f ca="1"/>
        <v>2.1600151314544958E-2</v>
      </c>
      <c r="M91" s="12">
        <f ca="1"/>
        <v>4.0940460872618267E-3</v>
      </c>
      <c r="N91" s="12">
        <f ca="1"/>
        <v>1.0282776349614942E-3</v>
      </c>
      <c r="O91" s="12">
        <f ca="1"/>
        <v>2.1052631578947434E-2</v>
      </c>
      <c r="P91" s="12">
        <f ca="1"/>
        <v>6.2731220846068414E-3</v>
      </c>
      <c r="Q91" s="12">
        <f ca="1"/>
        <v>-8.9152683129382071E-3</v>
      </c>
      <c r="R91" s="12">
        <f ca="1"/>
        <v>3.6555333230721132E-3</v>
      </c>
      <c r="S91" s="12">
        <f ca="1"/>
        <v>-9.1684743311641892E-3</v>
      </c>
      <c r="T91" s="12">
        <f ca="1"/>
        <v>1.4965180026670799E-2</v>
      </c>
      <c r="U91" s="12">
        <f ca="1"/>
        <v>-7.898139858748543E-3</v>
      </c>
      <c r="V91" s="12">
        <f ca="1"/>
        <v>3.9346105203990067E-3</v>
      </c>
      <c r="W91" s="12">
        <f ca="1"/>
        <v>-2.4609074596257385E-2</v>
      </c>
      <c r="X91" s="12">
        <f ca="1"/>
        <v>-1.6627956081081141E-2</v>
      </c>
      <c r="Y91" s="12">
        <f ca="1"/>
        <v>-5.6081317910970929E-3</v>
      </c>
      <c r="Z91" s="12">
        <f ca="1"/>
        <v>0</v>
      </c>
    </row>
    <row r="92" spans="1:26" x14ac:dyDescent="0.2">
      <c r="A92" vm="1470">
        <f ca="1"/>
        <v>46092</v>
      </c>
      <c r="B92" s="13">
        <f ca="1"/>
        <v>3.707645033494196E-3</v>
      </c>
      <c r="C92" s="66">
        <f t="shared" ca="1" si="6"/>
        <v>1.0381224797033213</v>
      </c>
      <c r="D92" s="66">
        <f t="shared" ca="1" si="7"/>
        <v>1.0547190813061593</v>
      </c>
      <c r="E92" s="13">
        <f t="shared" ca="1" si="5"/>
        <v>-1.5735565893322884E-2</v>
      </c>
      <c r="F92" s="13">
        <f ca="1"/>
        <v>-1.2552054106735877E-3</v>
      </c>
      <c r="G92" s="67">
        <f t="shared" ca="1" si="8"/>
        <v>0.98391015289719097</v>
      </c>
      <c r="H92" s="13">
        <f ca="1"/>
        <v>-1.3162874113548106E-4</v>
      </c>
      <c r="I92" s="67">
        <f t="shared" ca="1" si="9"/>
        <v>0.95583308429148961</v>
      </c>
      <c r="J92" s="12">
        <f ca="1"/>
        <v>4.8545270908677551E-3</v>
      </c>
      <c r="K92" s="12">
        <f ca="1"/>
        <v>9.3966898024559375E-2</v>
      </c>
      <c r="L92" s="12">
        <f ca="1"/>
        <v>-6.6651855143301519E-3</v>
      </c>
      <c r="M92" s="12">
        <f ca="1"/>
        <v>1.5144454799627116E-3</v>
      </c>
      <c r="N92" s="12">
        <f ca="1"/>
        <v>-3.2100667693888418E-3</v>
      </c>
      <c r="O92" s="12">
        <f ca="1"/>
        <v>2.5773195876288568E-3</v>
      </c>
      <c r="P92" s="12">
        <f ca="1"/>
        <v>-1.3027493606138196E-2</v>
      </c>
      <c r="Q92" s="12">
        <f ca="1"/>
        <v>-2.1687697160883701E-3</v>
      </c>
      <c r="R92" s="12">
        <f ca="1"/>
        <v>-7.6678296208165797E-5</v>
      </c>
      <c r="S92" s="12">
        <f ca="1"/>
        <v>-2.9482164749838891E-3</v>
      </c>
      <c r="T92" s="12">
        <f ca="1"/>
        <v>-1.6058394160584077E-3</v>
      </c>
      <c r="U92" s="12">
        <f ca="1"/>
        <v>-5.1435790486885624E-3</v>
      </c>
      <c r="V92" s="12">
        <f ca="1"/>
        <v>-7.8383800681193216E-3</v>
      </c>
      <c r="W92" s="12">
        <f ca="1"/>
        <v>2.5229960578186494E-2</v>
      </c>
      <c r="X92" s="12">
        <f ca="1"/>
        <v>2.9523860647377775E-2</v>
      </c>
      <c r="Y92" s="12">
        <f ca="1"/>
        <v>2.6906356479849736E-2</v>
      </c>
      <c r="Z92" s="12">
        <f ca="1"/>
        <v>0</v>
      </c>
    </row>
    <row r="93" spans="1:26" x14ac:dyDescent="0.2">
      <c r="A93" vm="1483">
        <f ca="1"/>
        <v>46093</v>
      </c>
      <c r="B93" s="13">
        <f ca="1"/>
        <v>-9.6256881075917258E-3</v>
      </c>
      <c r="C93" s="66">
        <f t="shared" ca="1" si="6"/>
        <v>1.0281298364962175</v>
      </c>
      <c r="D93" s="66">
        <f t="shared" ca="1" si="7"/>
        <v>1.0547190813061593</v>
      </c>
      <c r="E93" s="13">
        <f t="shared" ca="1" si="5"/>
        <v>-2.5209788351428938E-2</v>
      </c>
      <c r="F93" s="13">
        <f ca="1"/>
        <v>-1.5184894947732785E-2</v>
      </c>
      <c r="G93" s="67">
        <f t="shared" ca="1" si="8"/>
        <v>0.96896958058743943</v>
      </c>
      <c r="H93" s="13">
        <f ca="1"/>
        <v>-1.7163356316543088E-2</v>
      </c>
      <c r="I93" s="67">
        <f t="shared" ca="1" si="9"/>
        <v>0.93942778048665443</v>
      </c>
      <c r="J93" s="12">
        <f ca="1"/>
        <v>-1.6892549121328204E-2</v>
      </c>
      <c r="K93" s="12">
        <f ca="1"/>
        <v>-2.5622254758418728E-2</v>
      </c>
      <c r="L93" s="12">
        <f ca="1"/>
        <v>-1.0735853276671814E-2</v>
      </c>
      <c r="M93" s="12">
        <f ca="1"/>
        <v>-4.4317785273932819E-2</v>
      </c>
      <c r="N93" s="12">
        <f ca="1"/>
        <v>-2.5763235862419354E-4</v>
      </c>
      <c r="O93" s="12">
        <f ca="1"/>
        <v>-1.4138817480719879E-2</v>
      </c>
      <c r="P93" s="12">
        <f ca="1"/>
        <v>1.4899991902178389E-2</v>
      </c>
      <c r="Q93" s="12">
        <f ca="1"/>
        <v>-7.4590001975893827E-3</v>
      </c>
      <c r="R93" s="12">
        <f ca="1"/>
        <v>-1.9362754495609868E-2</v>
      </c>
      <c r="S93" s="12">
        <f ca="1"/>
        <v>-1.639488245454801E-2</v>
      </c>
      <c r="T93" s="12">
        <f ca="1"/>
        <v>-2.149437052200609E-2</v>
      </c>
      <c r="U93" s="12">
        <f ca="1"/>
        <v>1.1176844078489845E-2</v>
      </c>
      <c r="V93" s="12">
        <f ca="1"/>
        <v>-1.467199623794968E-2</v>
      </c>
      <c r="W93" s="12">
        <f ca="1"/>
        <v>2.7599760745108171E-2</v>
      </c>
      <c r="X93" s="12">
        <f ca="1"/>
        <v>2.7008707440429713E-2</v>
      </c>
      <c r="Y93" s="12">
        <f ca="1"/>
        <v>1.0983981693363676E-2</v>
      </c>
      <c r="Z93" s="12">
        <f ca="1"/>
        <v>0</v>
      </c>
    </row>
    <row r="94" spans="1:26" x14ac:dyDescent="0.2">
      <c r="A94" vm="1500">
        <f ca="1"/>
        <v>46094</v>
      </c>
      <c r="B94" s="13">
        <f ca="1"/>
        <v>-1.4158626898128869E-2</v>
      </c>
      <c r="C94" s="66">
        <f t="shared" ca="1" si="6"/>
        <v>1.0135729297384333</v>
      </c>
      <c r="D94" s="66">
        <f t="shared" ca="1" si="7"/>
        <v>1.0547190813061593</v>
      </c>
      <c r="E94" s="13">
        <f t="shared" ca="1" si="5"/>
        <v>-3.9011479262109156E-2</v>
      </c>
      <c r="F94" s="13">
        <f ca="1"/>
        <v>-5.6601507371707438E-3</v>
      </c>
      <c r="G94" s="67">
        <f t="shared" ca="1" si="8"/>
        <v>0.96348506670158141</v>
      </c>
      <c r="H94" s="13">
        <f ca="1"/>
        <v>-5.9270669390214525E-3</v>
      </c>
      <c r="I94" s="67">
        <f t="shared" ca="1" si="9"/>
        <v>0.93385972914733373</v>
      </c>
      <c r="J94" s="12">
        <f ca="1"/>
        <v>-5.7715774545694654E-3</v>
      </c>
      <c r="K94" s="12">
        <f ca="1"/>
        <v>1.5652391685449629E-2</v>
      </c>
      <c r="L94" s="12">
        <f ca="1"/>
        <v>-2.449317959152908E-2</v>
      </c>
      <c r="M94" s="12">
        <f ca="1"/>
        <v>-4.8320350535540402E-2</v>
      </c>
      <c r="N94" s="12">
        <f ca="1"/>
        <v>-3.4789331271742885E-3</v>
      </c>
      <c r="O94" s="12">
        <f ca="1"/>
        <v>-1.6949152542372836E-2</v>
      </c>
      <c r="P94" s="12">
        <f ca="1"/>
        <v>9.494933375887582E-3</v>
      </c>
      <c r="Q94" s="12">
        <f ca="1"/>
        <v>-1.5701985766187199E-2</v>
      </c>
      <c r="R94" s="12">
        <f ca="1"/>
        <v>-2.2051923678448548E-2</v>
      </c>
      <c r="S94" s="12">
        <f ca="1"/>
        <v>-4.1104860553025535E-2</v>
      </c>
      <c r="T94" s="12">
        <f ca="1"/>
        <v>-1.090854751942627E-2</v>
      </c>
      <c r="U94" s="12">
        <f ca="1"/>
        <v>5.0930909380855205E-3</v>
      </c>
      <c r="V94" s="12">
        <f ca="1"/>
        <v>-8.8770104519639847E-3</v>
      </c>
      <c r="W94" s="12">
        <f ca="1"/>
        <v>1.3553966406119944E-2</v>
      </c>
      <c r="X94" s="12">
        <f ca="1"/>
        <v>-7.6153728994265979E-4</v>
      </c>
      <c r="Y94" s="12">
        <f ca="1"/>
        <v>1.2109551833408894E-2</v>
      </c>
      <c r="Z94" s="12">
        <f ca="1"/>
        <v>0</v>
      </c>
    </row>
    <row r="95" spans="1:26" x14ac:dyDescent="0.2">
      <c r="A95" vm="1515">
        <f ca="1"/>
        <v>46097</v>
      </c>
      <c r="B95" s="13">
        <f ca="1"/>
        <v>1.2707637497104992E-2</v>
      </c>
      <c r="C95" s="66">
        <f t="shared" ca="1" si="6"/>
        <v>1.0264530471064279</v>
      </c>
      <c r="D95" s="66">
        <f t="shared" ca="1" si="7"/>
        <v>1.0547190813061593</v>
      </c>
      <c r="E95" s="13">
        <f t="shared" ca="1" si="5"/>
        <v>-2.6799585501692893E-2</v>
      </c>
      <c r="F95" s="13">
        <f ca="1"/>
        <v>1.0176810762656752E-2</v>
      </c>
      <c r="G95" s="67">
        <f t="shared" ca="1" si="8"/>
        <v>0.97329027189804906</v>
      </c>
      <c r="H95" s="13">
        <f ca="1"/>
        <v>1.1217408879606428E-2</v>
      </c>
      <c r="I95" s="67">
        <f t="shared" ca="1" si="9"/>
        <v>0.94433521556537792</v>
      </c>
      <c r="J95" s="12">
        <f ca="1"/>
        <v>9.8188814436410699E-3</v>
      </c>
      <c r="K95" s="12">
        <f ca="1"/>
        <v>5.8562446060904882E-2</v>
      </c>
      <c r="L95" s="12">
        <f ca="1"/>
        <v>2.2635970333745314E-2</v>
      </c>
      <c r="M95" s="12">
        <f ca="1"/>
        <v>2.7113441616575029E-2</v>
      </c>
      <c r="N95" s="12">
        <f ca="1"/>
        <v>6.2063615205585343E-3</v>
      </c>
      <c r="O95" s="12">
        <f ca="1"/>
        <v>2.2546419098143256E-2</v>
      </c>
      <c r="P95" s="12">
        <f ca="1"/>
        <v>-4.1890610180208565E-3</v>
      </c>
      <c r="Q95" s="12">
        <f ca="1"/>
        <v>1.1123751738086218E-2</v>
      </c>
      <c r="R95" s="12">
        <f ca="1"/>
        <v>1.0794818487126046E-2</v>
      </c>
      <c r="S95" s="12">
        <f ca="1"/>
        <v>8.5671715917556845E-3</v>
      </c>
      <c r="T95" s="12">
        <f ca="1"/>
        <v>3.1575766732134802E-2</v>
      </c>
      <c r="U95" s="12">
        <f ca="1"/>
        <v>-6.634074749858665E-3</v>
      </c>
      <c r="V95" s="12">
        <f ca="1"/>
        <v>1.9598401309770308E-2</v>
      </c>
      <c r="W95" s="12">
        <f ca="1"/>
        <v>-4.676347526458291E-3</v>
      </c>
      <c r="X95" s="12">
        <f ca="1"/>
        <v>1.0161568946243094E-4</v>
      </c>
      <c r="Y95" s="12">
        <f ca="1"/>
        <v>1.1741026501174145E-2</v>
      </c>
      <c r="Z95" s="12">
        <f ca="1"/>
        <v>0</v>
      </c>
    </row>
    <row r="96" spans="1:26" x14ac:dyDescent="0.2">
      <c r="A96" vm="1532">
        <f ca="1"/>
        <v>46098</v>
      </c>
      <c r="B96" s="13">
        <f ca="1"/>
        <v>3.2131850984522137E-3</v>
      </c>
      <c r="C96" s="66">
        <f t="shared" ca="1" si="6"/>
        <v>1.0297512307416512</v>
      </c>
      <c r="D96" s="66">
        <f t="shared" ca="1" si="7"/>
        <v>1.0547190813061593</v>
      </c>
      <c r="E96" s="13">
        <f t="shared" ca="1" si="5"/>
        <v>-2.3672512432019385E-2</v>
      </c>
      <c r="F96" s="13">
        <f ca="1"/>
        <v>2.6306742597492772E-3</v>
      </c>
      <c r="G96" s="67">
        <f t="shared" ca="1" si="8"/>
        <v>0.97585068156359567</v>
      </c>
      <c r="H96" s="13">
        <f ca="1"/>
        <v>4.8802425130749505E-3</v>
      </c>
      <c r="I96" s="67">
        <f t="shared" ca="1" si="9"/>
        <v>0.94894380043097393</v>
      </c>
      <c r="J96" s="12">
        <f ca="1"/>
        <v>1.6391827081006616E-2</v>
      </c>
      <c r="K96" s="12">
        <f ca="1"/>
        <v>-4.3559282552993239E-2</v>
      </c>
      <c r="L96" s="12">
        <f ca="1"/>
        <v>1.3862657701896319E-2</v>
      </c>
      <c r="M96" s="12">
        <f ca="1"/>
        <v>7.3465321877723699E-3</v>
      </c>
      <c r="N96" s="12">
        <f ca="1"/>
        <v>-3.0840400925211675E-3</v>
      </c>
      <c r="O96" s="12">
        <f ca="1"/>
        <v>-6.4850843060959562E-3</v>
      </c>
      <c r="P96" s="12">
        <f ca="1"/>
        <v>-7.2227954599570765E-3</v>
      </c>
      <c r="Q96" s="12">
        <f ca="1"/>
        <v>-1.3501687710962829E-3</v>
      </c>
      <c r="R96" s="12">
        <f ca="1"/>
        <v>5.5770904200616034E-3</v>
      </c>
      <c r="S96" s="12">
        <f ca="1"/>
        <v>-1.1110427182075666E-2</v>
      </c>
      <c r="T96" s="12">
        <f ca="1"/>
        <v>5.1259519625073136E-3</v>
      </c>
      <c r="U96" s="12">
        <f ca="1"/>
        <v>-5.5703076646634875E-3</v>
      </c>
      <c r="V96" s="12">
        <f ca="1"/>
        <v>1.6340795315008982E-2</v>
      </c>
      <c r="W96" s="12">
        <f ca="1"/>
        <v>1.2776129244972179E-2</v>
      </c>
      <c r="X96" s="12">
        <f ca="1"/>
        <v>5.7407031091241123E-3</v>
      </c>
      <c r="Y96" s="12">
        <f ca="1"/>
        <v>1.6467727674624122E-2</v>
      </c>
      <c r="Z96" s="12">
        <f ca="1"/>
        <v>0</v>
      </c>
    </row>
    <row r="97" spans="1:26" x14ac:dyDescent="0.2">
      <c r="A97" vm="1548">
        <f ca="1"/>
        <v>46099</v>
      </c>
      <c r="B97" s="13">
        <f ca="1"/>
        <v>-1.3037341858198019E-2</v>
      </c>
      <c r="C97" s="66">
        <f t="shared" ca="1" si="6"/>
        <v>1.0163260119175721</v>
      </c>
      <c r="D97" s="66">
        <f t="shared" ca="1" si="7"/>
        <v>1.0547190813061593</v>
      </c>
      <c r="E97" s="13">
        <f t="shared" ca="1" si="5"/>
        <v>-3.6401227652998767E-2</v>
      </c>
      <c r="F97" s="13">
        <f ca="1"/>
        <v>-1.3953696387841275E-2</v>
      </c>
      <c r="G97" s="67">
        <f t="shared" ca="1" si="8"/>
        <v>0.96223395743318929</v>
      </c>
      <c r="H97" s="13">
        <f ca="1"/>
        <v>-1.3939765626294842E-2</v>
      </c>
      <c r="I97" s="67">
        <f t="shared" ca="1" si="9"/>
        <v>0.93571574626044063</v>
      </c>
      <c r="J97" s="12">
        <f ca="1"/>
        <v>-1.0051388125787875E-2</v>
      </c>
      <c r="K97" s="12">
        <f ca="1"/>
        <v>8.5241110569895806E-3</v>
      </c>
      <c r="L97" s="12">
        <f ca="1"/>
        <v>-1.3784881338251398E-2</v>
      </c>
      <c r="M97" s="12">
        <f ca="1"/>
        <v>-1.1866501854141065E-2</v>
      </c>
      <c r="N97" s="12">
        <f ca="1"/>
        <v>-2.0752771332817721E-2</v>
      </c>
      <c r="O97" s="12">
        <f ca="1"/>
        <v>-2.0887728459530019E-2</v>
      </c>
      <c r="P97" s="12">
        <f ca="1"/>
        <v>-2.478413815158298E-2</v>
      </c>
      <c r="Q97" s="12">
        <f ca="1"/>
        <v>-1.9078140256878928E-2</v>
      </c>
      <c r="R97" s="12">
        <f ca="1"/>
        <v>-1.6874483735200396E-2</v>
      </c>
      <c r="S97" s="12">
        <f ca="1"/>
        <v>-1.6743954436525432E-2</v>
      </c>
      <c r="T97" s="12">
        <f ca="1"/>
        <v>-2.6227597260671809E-3</v>
      </c>
      <c r="U97" s="12">
        <f ca="1"/>
        <v>-1.6302601991647903E-2</v>
      </c>
      <c r="V97" s="12">
        <f ca="1"/>
        <v>-2.4767657992564973E-2</v>
      </c>
      <c r="W97" s="12">
        <f ca="1"/>
        <v>6.3481728656302749E-3</v>
      </c>
      <c r="X97" s="12">
        <f ca="1"/>
        <v>3.2328130524827969E-3</v>
      </c>
      <c r="Y97" s="12">
        <f ca="1"/>
        <v>8.4810264216592657E-3</v>
      </c>
      <c r="Z97" s="12">
        <f ca="1"/>
        <v>0</v>
      </c>
    </row>
    <row r="98" spans="1:26" x14ac:dyDescent="0.2">
      <c r="A98" vm="1564">
        <f ca="1"/>
        <v>46100</v>
      </c>
      <c r="B98" s="13">
        <f ca="1"/>
        <v>-1.6060667654603283E-4</v>
      </c>
      <c r="C98" s="66">
        <f t="shared" ca="1" si="6"/>
        <v>1.0161627831745108</v>
      </c>
      <c r="D98" s="66">
        <f t="shared" ca="1" si="7"/>
        <v>1.0547190813061593</v>
      </c>
      <c r="E98" s="13">
        <f t="shared" ca="1" si="5"/>
        <v>-3.6555988049349189E-2</v>
      </c>
      <c r="F98" s="13">
        <f ca="1"/>
        <v>-2.4643575283854746E-3</v>
      </c>
      <c r="G98" s="67">
        <f t="shared" ca="1" si="8"/>
        <v>0.95986266893612071</v>
      </c>
      <c r="H98" s="13">
        <f ca="1"/>
        <v>-3.1601949907547056E-3</v>
      </c>
      <c r="I98" s="67">
        <f t="shared" ca="1" si="9"/>
        <v>0.93275870204633804</v>
      </c>
      <c r="J98" s="12">
        <f ca="1"/>
        <v>-1.8609206660137323E-3</v>
      </c>
      <c r="K98" s="12">
        <f ca="1"/>
        <v>-2.6080656846172334E-2</v>
      </c>
      <c r="L98" s="12">
        <f ca="1"/>
        <v>1.6848626799138788E-2</v>
      </c>
      <c r="M98" s="12">
        <f ca="1"/>
        <v>-6.0045033775332213E-3</v>
      </c>
      <c r="N98" s="12">
        <f ca="1"/>
        <v>-5.5284980913519188E-3</v>
      </c>
      <c r="O98" s="12">
        <f ca="1"/>
        <v>1.6000000000000014E-2</v>
      </c>
      <c r="P98" s="12">
        <f ca="1"/>
        <v>-7.2962780783735193E-3</v>
      </c>
      <c r="Q98" s="12">
        <f ca="1"/>
        <v>-7.0701140917328598E-3</v>
      </c>
      <c r="R98" s="12">
        <f ca="1"/>
        <v>-3.9209410258461697E-3</v>
      </c>
      <c r="S98" s="12">
        <f ca="1"/>
        <v>1.2376159275788945E-2</v>
      </c>
      <c r="T98" s="12">
        <f ca="1"/>
        <v>-1.1102994886778794E-2</v>
      </c>
      <c r="U98" s="12">
        <f ca="1"/>
        <v>-5.2453261490733594E-3</v>
      </c>
      <c r="V98" s="12">
        <f ca="1"/>
        <v>-5.2889884214037952E-3</v>
      </c>
      <c r="W98" s="12">
        <f ca="1"/>
        <v>1.9167003639304347E-2</v>
      </c>
      <c r="X98" s="12">
        <f ca="1"/>
        <v>1.4249030763808346E-2</v>
      </c>
      <c r="Y98" s="12">
        <f ca="1"/>
        <v>-1.6819407008086262E-2</v>
      </c>
      <c r="Z98" s="12">
        <f ca="1"/>
        <v>0</v>
      </c>
    </row>
    <row r="99" spans="1:26" x14ac:dyDescent="0.2">
      <c r="A99" vm="1579">
        <f ca="1"/>
        <v>46101</v>
      </c>
      <c r="B99" s="13">
        <f ca="1"/>
        <v>-1.8114145565082472E-2</v>
      </c>
      <c r="C99" s="66">
        <f t="shared" ca="1" si="6"/>
        <v>0.99775586260226834</v>
      </c>
      <c r="D99" s="66">
        <f t="shared" ca="1" si="7"/>
        <v>1.0547190813061593</v>
      </c>
      <c r="E99" s="13">
        <f t="shared" ca="1" si="5"/>
        <v>-5.4007953125630372E-2</v>
      </c>
      <c r="F99" s="13">
        <f ca="1"/>
        <v>-1.702030918460129E-2</v>
      </c>
      <c r="G99" s="67">
        <f t="shared" ca="1" si="8"/>
        <v>0.94352550953607139</v>
      </c>
      <c r="H99" s="13">
        <f ca="1"/>
        <v>-1.848167009544377E-2</v>
      </c>
      <c r="I99" s="67">
        <f t="shared" ca="1" si="9"/>
        <v>0.91551976343646324</v>
      </c>
      <c r="J99" s="12">
        <f ca="1"/>
        <v>-2.2699767768946444E-2</v>
      </c>
      <c r="K99" s="12">
        <f ca="1"/>
        <v>1.0042152243987079E-2</v>
      </c>
      <c r="L99" s="12">
        <f ca="1"/>
        <v>-4.9374001560352321E-2</v>
      </c>
      <c r="M99" s="12">
        <f ca="1"/>
        <v>-3.1588220488295904E-2</v>
      </c>
      <c r="N99" s="12">
        <f ca="1"/>
        <v>-1.0589013898080757E-2</v>
      </c>
      <c r="O99" s="12">
        <f ca="1"/>
        <v>-4.8556430446194287E-2</v>
      </c>
      <c r="P99" s="12">
        <f ca="1"/>
        <v>-1.7094722933355455E-2</v>
      </c>
      <c r="Q99" s="12">
        <f ca="1"/>
        <v>-1.8379517762582842E-2</v>
      </c>
      <c r="R99" s="12">
        <f ca="1"/>
        <v>-3.896208226221054E-3</v>
      </c>
      <c r="S99" s="12">
        <f ca="1"/>
        <v>-2.9170835417708818E-2</v>
      </c>
      <c r="T99" s="12">
        <f ca="1"/>
        <v>-3.2796572610429897E-2</v>
      </c>
      <c r="U99" s="12">
        <f ca="1"/>
        <v>-2.513387636184472E-3</v>
      </c>
      <c r="V99" s="12">
        <f ca="1"/>
        <v>-1.6238743054224902E-2</v>
      </c>
      <c r="W99" s="12">
        <f ca="1"/>
        <v>7.1417235359467757E-3</v>
      </c>
      <c r="X99" s="12">
        <f ca="1"/>
        <v>1.4396346306591035E-3</v>
      </c>
      <c r="Y99" s="12">
        <f ca="1"/>
        <v>-8.2245860291698669E-3</v>
      </c>
      <c r="Z99" s="12">
        <f ca="1"/>
        <v>0</v>
      </c>
    </row>
    <row r="100" spans="1:26" x14ac:dyDescent="0.2">
      <c r="A100" vm="1594">
        <f ca="1"/>
        <v>46104</v>
      </c>
      <c r="B100" s="13">
        <f ca="1"/>
        <v>1.3134767630939908E-2</v>
      </c>
      <c r="C100" s="66">
        <f t="shared" ca="1" si="6"/>
        <v>1.0108611540099572</v>
      </c>
      <c r="D100" s="66">
        <f t="shared" ca="1" si="7"/>
        <v>1.0547190813061593</v>
      </c>
      <c r="E100" s="13">
        <f t="shared" ca="1" si="5"/>
        <v>-4.1582567409218216E-2</v>
      </c>
      <c r="F100" s="13">
        <f ca="1"/>
        <v>1.050002312780407E-2</v>
      </c>
      <c r="G100" s="67">
        <f t="shared" ca="1" si="8"/>
        <v>0.95343254920787324</v>
      </c>
      <c r="H100" s="13">
        <f ca="1"/>
        <v>1.0205133491392626E-2</v>
      </c>
      <c r="I100" s="67">
        <f t="shared" ca="1" si="9"/>
        <v>0.92486276483634056</v>
      </c>
      <c r="J100" s="12">
        <f ca="1"/>
        <v>7.697714113590326E-4</v>
      </c>
      <c r="K100" s="12">
        <f ca="1"/>
        <v>6.0144838590892036E-3</v>
      </c>
      <c r="L100" s="12">
        <f ca="1"/>
        <v>4.689698296076461E-4</v>
      </c>
      <c r="M100" s="12">
        <f ca="1"/>
        <v>3.7426900584795364E-2</v>
      </c>
      <c r="N100" s="12">
        <f ca="1"/>
        <v>4.8160535117056646E-3</v>
      </c>
      <c r="O100" s="12">
        <f ca="1"/>
        <v>1.1034482758620623E-2</v>
      </c>
      <c r="P100" s="12">
        <f ca="1"/>
        <v>1.4283313728784996E-2</v>
      </c>
      <c r="Q100" s="12">
        <f ca="1"/>
        <v>2.9591222143661167E-3</v>
      </c>
      <c r="R100" s="12">
        <f ca="1"/>
        <v>1.4113472317432096E-2</v>
      </c>
      <c r="S100" s="12">
        <f ca="1"/>
        <v>3.8646098354320202E-2</v>
      </c>
      <c r="T100" s="12">
        <f ca="1"/>
        <v>3.61997861616008E-2</v>
      </c>
      <c r="U100" s="12">
        <f ca="1"/>
        <v>-6.7878189503564057E-3</v>
      </c>
      <c r="V100" s="12">
        <f ca="1"/>
        <v>2.3226371914106148E-2</v>
      </c>
      <c r="W100" s="12">
        <f ca="1"/>
        <v>2.1273242987709384E-3</v>
      </c>
      <c r="X100" s="12">
        <f ca="1"/>
        <v>1.7250780746542516E-2</v>
      </c>
      <c r="Y100" s="12">
        <f ca="1"/>
        <v>2.9854046881909735E-3</v>
      </c>
      <c r="Z100" s="12">
        <f ca="1"/>
        <v>0</v>
      </c>
    </row>
    <row r="101" spans="1:26" x14ac:dyDescent="0.2">
      <c r="A101" vm="1609">
        <f ca="1"/>
        <v>46105</v>
      </c>
      <c r="B101" s="13">
        <f ca="1"/>
        <v>-3.4567794135777698E-3</v>
      </c>
      <c r="C101" s="66">
        <f t="shared" ca="1" si="6"/>
        <v>1.00736682998279</v>
      </c>
      <c r="D101" s="66">
        <f t="shared" ca="1" si="7"/>
        <v>1.0547190813061593</v>
      </c>
      <c r="E101" s="13">
        <f t="shared" ca="1" si="5"/>
        <v>-4.4895605059812209E-2</v>
      </c>
      <c r="F101" s="13">
        <f ca="1"/>
        <v>-3.3568311513931803E-3</v>
      </c>
      <c r="G101" s="67">
        <f t="shared" ca="1" si="8"/>
        <v>0.95023203712594007</v>
      </c>
      <c r="H101" s="13">
        <f ca="1"/>
        <v>-6.8367346938774665E-3</v>
      </c>
      <c r="I101" s="67">
        <f t="shared" ca="1" si="9"/>
        <v>0.91853972348490853</v>
      </c>
      <c r="J101" s="12">
        <f ca="1"/>
        <v>-3.2840612668048941E-2</v>
      </c>
      <c r="K101" s="12">
        <f ca="1"/>
        <v>1.2933138116154153E-2</v>
      </c>
      <c r="L101" s="12">
        <f ca="1"/>
        <v>5.8164062499999947E-2</v>
      </c>
      <c r="M101" s="12">
        <f ca="1"/>
        <v>-7.0149066766880264E-3</v>
      </c>
      <c r="N101" s="12">
        <f ca="1"/>
        <v>-5.8580748235920188E-3</v>
      </c>
      <c r="O101" s="12">
        <f ca="1"/>
        <v>0</v>
      </c>
      <c r="P101" s="12">
        <f ca="1"/>
        <v>1.101722995361154E-2</v>
      </c>
      <c r="Q101" s="12">
        <f ca="1"/>
        <v>-2.6788511749347266E-2</v>
      </c>
      <c r="R101" s="12">
        <f ca="1"/>
        <v>5.9644518668733326E-4</v>
      </c>
      <c r="S101" s="12">
        <f ca="1"/>
        <v>-1.3084865585563099E-2</v>
      </c>
      <c r="T101" s="12">
        <f ca="1"/>
        <v>-2.5353773584905648E-2</v>
      </c>
      <c r="U101" s="12">
        <f ca="1"/>
        <v>8.37708262143666E-3</v>
      </c>
      <c r="V101" s="12">
        <f ca="1"/>
        <v>-1.3800323593794461E-2</v>
      </c>
      <c r="W101" s="12">
        <f ca="1"/>
        <v>1.6982467175092442E-2</v>
      </c>
      <c r="X101" s="12">
        <f ca="1"/>
        <v>7.6994298523462845E-3</v>
      </c>
      <c r="Y101" s="12">
        <f ca="1"/>
        <v>4.5198985778855949E-3</v>
      </c>
      <c r="Z101" s="12">
        <f ca="1"/>
        <v>0</v>
      </c>
    </row>
    <row r="102" spans="1:26" x14ac:dyDescent="0.2">
      <c r="A102" vm="1625">
        <f ca="1"/>
        <v>46106</v>
      </c>
      <c r="B102" s="13">
        <f ca="1"/>
        <v>7.607329597936645E-3</v>
      </c>
      <c r="C102" s="66">
        <f t="shared" ca="1" si="6"/>
        <v>1.0150302014844976</v>
      </c>
      <c r="D102" s="66">
        <f t="shared" ca="1" si="7"/>
        <v>1.0547190813061593</v>
      </c>
      <c r="E102" s="13">
        <f t="shared" ca="1" si="5"/>
        <v>-3.7629811127064434E-2</v>
      </c>
      <c r="F102" s="13">
        <f ca="1"/>
        <v>5.5727364585567152E-3</v>
      </c>
      <c r="G102" s="67">
        <f t="shared" ca="1" si="8"/>
        <v>0.9555274298433204</v>
      </c>
      <c r="H102" s="13">
        <f ca="1"/>
        <v>6.5755676564267507E-3</v>
      </c>
      <c r="I102" s="67">
        <f t="shared" ca="1" si="9"/>
        <v>0.92457964358179912</v>
      </c>
      <c r="J102" s="12">
        <f ca="1"/>
        <v>1.3485477178423189E-3</v>
      </c>
      <c r="K102" s="12">
        <f ca="1"/>
        <v>5.4926523729221799E-2</v>
      </c>
      <c r="L102" s="12">
        <f ca="1"/>
        <v>1.9454391081250799E-2</v>
      </c>
      <c r="M102" s="12">
        <f ca="1"/>
        <v>2.4599470165258097E-2</v>
      </c>
      <c r="N102" s="12">
        <f ca="1"/>
        <v>7.7675103790009192E-3</v>
      </c>
      <c r="O102" s="12">
        <f ca="1"/>
        <v>0</v>
      </c>
      <c r="P102" s="12">
        <f ca="1"/>
        <v>8.2752970094224221E-3</v>
      </c>
      <c r="Q102" s="12">
        <f ca="1"/>
        <v>-4.5608198744432338E-3</v>
      </c>
      <c r="R102" s="12">
        <f ca="1"/>
        <v>3.8944523923065688E-3</v>
      </c>
      <c r="S102" s="12">
        <f ca="1"/>
        <v>1.6337302460021075E-3</v>
      </c>
      <c r="T102" s="12">
        <f ca="1"/>
        <v>3.8717483363581495E-2</v>
      </c>
      <c r="U102" s="12">
        <f ca="1"/>
        <v>1.0679591710993641E-3</v>
      </c>
      <c r="V102" s="12">
        <f ca="1"/>
        <v>2.1569195136074137E-2</v>
      </c>
      <c r="W102" s="12">
        <f ca="1"/>
        <v>-3.2470042520292841E-3</v>
      </c>
      <c r="X102" s="12">
        <f ca="1"/>
        <v>-7.9307510034333228E-3</v>
      </c>
      <c r="Y102" s="12">
        <f ca="1"/>
        <v>8.3406496927127538E-3</v>
      </c>
      <c r="Z102" s="12">
        <f ca="1"/>
        <v>0</v>
      </c>
    </row>
    <row r="103" spans="1:26" x14ac:dyDescent="0.2">
      <c r="A103" vm="1642">
        <f ca="1"/>
        <v>46107</v>
      </c>
      <c r="B103" s="13">
        <f ca="1"/>
        <v>-1.6033205279589898E-2</v>
      </c>
      <c r="C103" s="66">
        <f t="shared" ca="1" si="6"/>
        <v>0.99875601389911328</v>
      </c>
      <c r="D103" s="66">
        <f t="shared" ca="1" si="7"/>
        <v>1.0547190813061593</v>
      </c>
      <c r="E103" s="13">
        <f t="shared" ca="1" si="5"/>
        <v>-5.3059689920221823E-2</v>
      </c>
      <c r="F103" s="13">
        <f ca="1"/>
        <v>-1.7858774093358898E-2</v>
      </c>
      <c r="G103" s="67">
        <f t="shared" ca="1" si="8"/>
        <v>0.93846288133374067</v>
      </c>
      <c r="H103" s="13">
        <f ca="1"/>
        <v>-2.3867850702596227E-2</v>
      </c>
      <c r="I103" s="67">
        <f t="shared" ca="1" si="9"/>
        <v>0.90251191468612912</v>
      </c>
      <c r="J103" s="12">
        <f ca="1"/>
        <v>-3.0560447529265344E-2</v>
      </c>
      <c r="K103" s="12">
        <f ca="1"/>
        <v>-8.141128111440965E-2</v>
      </c>
      <c r="L103" s="12">
        <f ca="1"/>
        <v>-8.6037079953650175E-2</v>
      </c>
      <c r="M103" s="12">
        <f ca="1"/>
        <v>-1.9576459000246293E-2</v>
      </c>
      <c r="N103" s="12">
        <f ca="1"/>
        <v>-7.4418604651163012E-3</v>
      </c>
      <c r="O103" s="12">
        <f ca="1"/>
        <v>-2.9530201342281792E-2</v>
      </c>
      <c r="P103" s="12">
        <f ca="1"/>
        <v>-7.1509832601982515E-3</v>
      </c>
      <c r="Q103" s="12">
        <f ca="1"/>
        <v>-1.3664294954721878E-2</v>
      </c>
      <c r="R103" s="12">
        <f ca="1"/>
        <v>1.0687989866200454E-3</v>
      </c>
      <c r="S103" s="12">
        <f ca="1"/>
        <v>-2.9468962705059387E-2</v>
      </c>
      <c r="T103" s="12">
        <f ca="1"/>
        <v>-3.6109493302271423E-2</v>
      </c>
      <c r="U103" s="12">
        <f ca="1"/>
        <v>4.9135260447654705E-3</v>
      </c>
      <c r="V103" s="12">
        <f ca="1"/>
        <v>-1.9696754995040422E-2</v>
      </c>
      <c r="W103" s="12">
        <f ca="1"/>
        <v>3.3506553944000483E-2</v>
      </c>
      <c r="X103" s="12">
        <f ca="1"/>
        <v>1.2868632707774719E-2</v>
      </c>
      <c r="Y103" s="12">
        <f ca="1"/>
        <v>3.0474531998259113E-3</v>
      </c>
      <c r="Z103" s="12">
        <f ca="1"/>
        <v>0</v>
      </c>
    </row>
    <row r="104" spans="1:26" x14ac:dyDescent="0.2">
      <c r="A104" vm="1658">
        <f ca="1"/>
        <v>46108</v>
      </c>
      <c r="B104" s="13">
        <f ca="1"/>
        <v>-1.4099797834673397E-2</v>
      </c>
      <c r="C104" s="66">
        <f t="shared" ca="1" si="6"/>
        <v>0.98467375601697149</v>
      </c>
      <c r="D104" s="66">
        <f t="shared" ca="1" si="7"/>
        <v>1.0547190813061593</v>
      </c>
      <c r="E104" s="13">
        <f t="shared" ca="1" si="5"/>
        <v>-6.6411356853849676E-2</v>
      </c>
      <c r="F104" s="13">
        <f ca="1"/>
        <v>-1.7051884233207804E-2</v>
      </c>
      <c r="G104" s="67">
        <f t="shared" ca="1" si="8"/>
        <v>0.92246032092407504</v>
      </c>
      <c r="H104" s="13">
        <f ca="1"/>
        <v>-1.9536764321441469E-2</v>
      </c>
      <c r="I104" s="67">
        <f t="shared" ca="1" si="9"/>
        <v>0.88487975211161329</v>
      </c>
      <c r="J104" s="12">
        <f ca="1"/>
        <v>-2.4862862434993249E-2</v>
      </c>
      <c r="K104" s="12">
        <f ca="1"/>
        <v>-7.010565568676197E-2</v>
      </c>
      <c r="L104" s="12">
        <f ca="1"/>
        <v>-5.2694136291601135E-3</v>
      </c>
      <c r="M104" s="12">
        <f ca="1"/>
        <v>-5.5255556950897233E-3</v>
      </c>
      <c r="N104" s="12">
        <f ca="1"/>
        <v>1.3656446646137299E-2</v>
      </c>
      <c r="O104" s="12">
        <f ca="1"/>
        <v>-3.1811894882434411E-2</v>
      </c>
      <c r="P104" s="12">
        <f ca="1"/>
        <v>5.8110983794401605E-3</v>
      </c>
      <c r="Q104" s="12">
        <f ca="1"/>
        <v>-2.5138672568789877E-2</v>
      </c>
      <c r="R104" s="12">
        <f ca="1"/>
        <v>-1.6173039661512845E-2</v>
      </c>
      <c r="S104" s="12">
        <f ca="1"/>
        <v>-2.8230693405297158E-2</v>
      </c>
      <c r="T104" s="12">
        <f ca="1"/>
        <v>-3.0211480362537735E-2</v>
      </c>
      <c r="U104" s="12">
        <f ca="1"/>
        <v>4.2974531720512132E-3</v>
      </c>
      <c r="V104" s="12">
        <f ca="1"/>
        <v>-3.9510455815746304E-2</v>
      </c>
      <c r="W104" s="12">
        <f ca="1"/>
        <v>4.1275797373359069E-3</v>
      </c>
      <c r="X104" s="12">
        <f ca="1"/>
        <v>1.6170171808075562E-2</v>
      </c>
      <c r="Y104" s="12">
        <f ca="1"/>
        <v>1.0850694444441977E-4</v>
      </c>
      <c r="Z104" s="12">
        <f ca="1"/>
        <v>0</v>
      </c>
    </row>
    <row r="105" spans="1:26" x14ac:dyDescent="0.2">
      <c r="A105" vm="1673">
        <f ca="1"/>
        <v>46111</v>
      </c>
      <c r="B105" s="13">
        <f ca="1"/>
        <v>-6.6738855544407278E-3</v>
      </c>
      <c r="C105" s="66">
        <f t="shared" ca="1" si="6"/>
        <v>0.97810215606085293</v>
      </c>
      <c r="D105" s="66">
        <f t="shared" ca="1" si="7"/>
        <v>1.0547190813061593</v>
      </c>
      <c r="E105" s="13">
        <f t="shared" ca="1" si="5"/>
        <v>-7.2642020613132685E-2</v>
      </c>
      <c r="F105" s="13">
        <f ca="1"/>
        <v>-3.3433739689949782E-3</v>
      </c>
      <c r="G105" s="67">
        <f t="shared" ca="1" si="8"/>
        <v>0.91937619109966673</v>
      </c>
      <c r="H105" s="13">
        <f ca="1"/>
        <v>-7.6433573891714346E-3</v>
      </c>
      <c r="I105" s="67">
        <f t="shared" ca="1" si="9"/>
        <v>0.87811629991978279</v>
      </c>
      <c r="J105" s="12">
        <f ca="1"/>
        <v>-2.2647574517825619E-3</v>
      </c>
      <c r="K105" s="12">
        <f ca="1"/>
        <v>-7.5658334447266329E-2</v>
      </c>
      <c r="L105" s="12">
        <f ca="1"/>
        <v>-6.711275739833511E-2</v>
      </c>
      <c r="M105" s="12">
        <f ca="1"/>
        <v>2.0204571284252459E-3</v>
      </c>
      <c r="N105" s="12">
        <f ca="1"/>
        <v>7.3966450931184369E-3</v>
      </c>
      <c r="O105" s="12">
        <f ca="1"/>
        <v>-1.4285714285714235E-2</v>
      </c>
      <c r="P105" s="12">
        <f ca="1"/>
        <v>4.9637887541704728E-3</v>
      </c>
      <c r="Q105" s="12">
        <f ca="1"/>
        <v>6.1384084984723586E-3</v>
      </c>
      <c r="R105" s="12">
        <f ca="1"/>
        <v>-8.7218649517685209E-3</v>
      </c>
      <c r="S105" s="12">
        <f ca="1"/>
        <v>-2.4178528668351684E-2</v>
      </c>
      <c r="T105" s="12">
        <f ca="1"/>
        <v>-7.9439252336449551E-3</v>
      </c>
      <c r="U105" s="12">
        <f ca="1"/>
        <v>1.2928668713028335E-2</v>
      </c>
      <c r="V105" s="12">
        <f ca="1"/>
        <v>8.0766529547506849E-3</v>
      </c>
      <c r="W105" s="12">
        <f ca="1"/>
        <v>-6.801195814648886E-3</v>
      </c>
      <c r="X105" s="12">
        <f ca="1"/>
        <v>-2.0838266635093694E-3</v>
      </c>
      <c r="Y105" s="12">
        <f ca="1"/>
        <v>6.1842248019963186E-3</v>
      </c>
      <c r="Z105" s="12">
        <f ca="1"/>
        <v>0</v>
      </c>
    </row>
    <row r="106" spans="1:26" x14ac:dyDescent="0.2">
      <c r="A106" vm="1689">
        <f ca="1"/>
        <v>46112</v>
      </c>
      <c r="B106" s="13">
        <f ca="1"/>
        <v>3.1758521793944047E-2</v>
      </c>
      <c r="C106" s="66">
        <f t="shared" ca="1" si="6"/>
        <v>1.0091652347008151</v>
      </c>
      <c r="D106" s="66">
        <f t="shared" ca="1" si="7"/>
        <v>1.0547190813061593</v>
      </c>
      <c r="E106" s="13">
        <f t="shared" ca="1" si="5"/>
        <v>-4.3190502013987032E-2</v>
      </c>
      <c r="F106" s="13">
        <f ca="1"/>
        <v>2.9067835498520544E-2</v>
      </c>
      <c r="G106" s="67">
        <f t="shared" ca="1" si="8"/>
        <v>0.94610046698380823</v>
      </c>
      <c r="H106" s="13">
        <f ca="1"/>
        <v>3.3853980081679502E-2</v>
      </c>
      <c r="I106" s="67">
        <f t="shared" ca="1" si="9"/>
        <v>0.90784403164666527</v>
      </c>
      <c r="J106" s="12">
        <f ca="1"/>
        <v>5.0230650948231759E-2</v>
      </c>
      <c r="K106" s="12">
        <f ca="1"/>
        <v>0.12031814895155457</v>
      </c>
      <c r="L106" s="12">
        <f ca="1"/>
        <v>6.9848860046110461E-2</v>
      </c>
      <c r="M106" s="12">
        <f ca="1"/>
        <v>3.9571518588531918E-2</v>
      </c>
      <c r="N106" s="12">
        <f ca="1"/>
        <v>-2.8844893142782047E-3</v>
      </c>
      <c r="O106" s="12">
        <f ca="1"/>
        <v>6.6666666666666652E-2</v>
      </c>
      <c r="P106" s="12">
        <f ca="1"/>
        <v>6.3157894736842746E-3</v>
      </c>
      <c r="Q106" s="12">
        <f ca="1"/>
        <v>3.1229106307109511E-2</v>
      </c>
      <c r="R106" s="12">
        <f ca="1"/>
        <v>2.9031342496857571E-2</v>
      </c>
      <c r="S106" s="12">
        <f ca="1"/>
        <v>5.487202208513664E-2</v>
      </c>
      <c r="T106" s="12">
        <f ca="1"/>
        <v>5.3069555660229195E-2</v>
      </c>
      <c r="U106" s="12">
        <f ca="1"/>
        <v>-1.5051476048089096E-4</v>
      </c>
      <c r="V106" s="12">
        <f ca="1"/>
        <v>3.6426971883553261E-2</v>
      </c>
      <c r="W106" s="12">
        <f ca="1"/>
        <v>-6.6972684174880781E-3</v>
      </c>
      <c r="X106" s="12">
        <f ca="1"/>
        <v>-1.8081723696075191E-2</v>
      </c>
      <c r="Y106" s="12">
        <f ca="1"/>
        <v>2.8035367694629887E-3</v>
      </c>
      <c r="Z106" s="12">
        <f ca="1"/>
        <v>0</v>
      </c>
    </row>
    <row r="107" spans="1:26" x14ac:dyDescent="0.2">
      <c r="A107" vm="1705">
        <f ca="1"/>
        <v>46113</v>
      </c>
      <c r="B107" s="13">
        <f ca="1"/>
        <v>6.6539375833323602E-3</v>
      </c>
      <c r="C107" s="66">
        <f t="shared" ca="1" si="6"/>
        <v>1.0158801571837832</v>
      </c>
      <c r="D107" s="66">
        <f t="shared" ca="1" si="7"/>
        <v>1.0547190813061593</v>
      </c>
      <c r="E107" s="13">
        <f t="shared" ca="1" si="5"/>
        <v>-3.6823951335248586E-2</v>
      </c>
      <c r="F107" s="13">
        <f ca="1"/>
        <v>7.5345204047112535E-3</v>
      </c>
      <c r="G107" s="67">
        <f t="shared" ca="1" si="8"/>
        <v>0.95322888025720454</v>
      </c>
      <c r="H107" s="13">
        <f ca="1"/>
        <v>1.2353165390346144E-2</v>
      </c>
      <c r="I107" s="67">
        <f t="shared" ca="1" si="9"/>
        <v>0.91905877911823519</v>
      </c>
      <c r="J107" s="12">
        <f ca="1"/>
        <v>2.8027609286759958E-2</v>
      </c>
      <c r="K107" s="12">
        <f ca="1"/>
        <v>1.2520975861623818E-2</v>
      </c>
      <c r="L107" s="12">
        <f ca="1"/>
        <v>3.5078617607151363E-2</v>
      </c>
      <c r="M107" s="12">
        <f ca="1"/>
        <v>3.6004364165353353E-2</v>
      </c>
      <c r="N107" s="12">
        <f ca="1"/>
        <v>3.9447731755415383E-4</v>
      </c>
      <c r="O107" s="12">
        <f ca="1"/>
        <v>2.7173913043476716E-3</v>
      </c>
      <c r="P107" s="12">
        <f ca="1"/>
        <v>3.7013196009010318E-3</v>
      </c>
      <c r="Q107" s="12">
        <f ca="1"/>
        <v>-2.1611691925331744E-3</v>
      </c>
      <c r="R107" s="12">
        <f ca="1"/>
        <v>7.2500886559754285E-3</v>
      </c>
      <c r="S107" s="12">
        <f ca="1"/>
        <v>1.2859035249265016E-2</v>
      </c>
      <c r="T107" s="12">
        <f ca="1"/>
        <v>1.252422841807066E-2</v>
      </c>
      <c r="U107" s="12">
        <f ca="1"/>
        <v>1.3046576277320199E-4</v>
      </c>
      <c r="V107" s="12">
        <f ca="1"/>
        <v>1.1043357180582802E-2</v>
      </c>
      <c r="W107" s="12">
        <f ca="1"/>
        <v>-2.7424242424242462E-2</v>
      </c>
      <c r="X107" s="12">
        <f ca="1"/>
        <v>-4.5867568873852127E-2</v>
      </c>
      <c r="Y107" s="12">
        <f ca="1"/>
        <v>-1.0430107526881671E-2</v>
      </c>
      <c r="Z107" s="12">
        <f ca="1"/>
        <v>0</v>
      </c>
    </row>
    <row r="108" spans="1:26" x14ac:dyDescent="0.2">
      <c r="A108" vm="1721">
        <f ca="1"/>
        <v>46114</v>
      </c>
      <c r="B108" s="13">
        <f ca="1"/>
        <v>4.443773279973114E-3</v>
      </c>
      <c r="C108" s="66">
        <f t="shared" ca="1" si="6"/>
        <v>1.0203944982819315</v>
      </c>
      <c r="D108" s="66">
        <f t="shared" ca="1" si="7"/>
        <v>1.0547190813061593</v>
      </c>
      <c r="E108" s="13">
        <f t="shared" ca="1" si="5"/>
        <v>-3.2543815346281965E-2</v>
      </c>
      <c r="F108" s="13">
        <f ca="1"/>
        <v>9.0043342897261347E-4</v>
      </c>
      <c r="G108" s="67">
        <f t="shared" ca="1" si="8"/>
        <v>0.95408719940645026</v>
      </c>
      <c r="H108" s="13">
        <f ca="1"/>
        <v>1.1466516061680032E-3</v>
      </c>
      <c r="I108" s="67">
        <f t="shared" ca="1" si="9"/>
        <v>0.92011261934347388</v>
      </c>
      <c r="J108" s="12">
        <f ca="1"/>
        <v>-1.4920311970159084E-3</v>
      </c>
      <c r="K108" s="12">
        <f ca="1"/>
        <v>4.8444671086180557E-2</v>
      </c>
      <c r="L108" s="12">
        <f ca="1"/>
        <v>7.4025523383582925E-3</v>
      </c>
      <c r="M108" s="12">
        <f ca="1"/>
        <v>-1.2286449801076516E-2</v>
      </c>
      <c r="N108" s="12">
        <f ca="1"/>
        <v>8.4121976866455839E-3</v>
      </c>
      <c r="O108" s="12">
        <f ca="1"/>
        <v>0</v>
      </c>
      <c r="P108" s="12">
        <f ca="1"/>
        <v>8.4175084175084347E-3</v>
      </c>
      <c r="Q108" s="12">
        <f ca="1"/>
        <v>1.1072907924303488E-2</v>
      </c>
      <c r="R108" s="12">
        <f ca="1"/>
        <v>1.1344521378555683E-3</v>
      </c>
      <c r="S108" s="12">
        <f ca="1"/>
        <v>3.3812880793646638E-3</v>
      </c>
      <c r="T108" s="12">
        <f ca="1"/>
        <v>-2.5033132086585974E-3</v>
      </c>
      <c r="U108" s="12">
        <f ca="1"/>
        <v>1.8463514489845068E-2</v>
      </c>
      <c r="V108" s="12">
        <f ca="1"/>
        <v>-3.7992116635797712E-3</v>
      </c>
      <c r="W108" s="12">
        <f ca="1"/>
        <v>1.6669263125097533E-2</v>
      </c>
      <c r="X108" s="12">
        <f ca="1"/>
        <v>7.9023352413758463E-3</v>
      </c>
      <c r="Y108" s="12">
        <f ca="1"/>
        <v>1.1626643485819876E-2</v>
      </c>
      <c r="Z108" s="12">
        <f ca="1"/>
        <v>0</v>
      </c>
    </row>
    <row r="109" spans="1:26" x14ac:dyDescent="0.2">
      <c r="A109" vm="1736">
        <f ca="1"/>
        <v>46118</v>
      </c>
      <c r="B109" s="13">
        <f ca="1"/>
        <v>4.1439277532829989E-3</v>
      </c>
      <c r="C109" s="66">
        <f t="shared" ca="1" si="6"/>
        <v>1.0246229393626594</v>
      </c>
      <c r="D109" s="66">
        <f t="shared" ca="1" si="7"/>
        <v>1.0547190813061593</v>
      </c>
      <c r="E109" s="13">
        <f t="shared" ca="1" si="5"/>
        <v>-2.8534746812610083E-2</v>
      </c>
      <c r="F109" s="13">
        <f ca="1"/>
        <v>4.7268346980160469E-3</v>
      </c>
      <c r="G109" s="67">
        <f t="shared" ca="1" si="8"/>
        <v>0.95859701188553759</v>
      </c>
      <c r="H109" s="13">
        <f ca="1"/>
        <v>6.0172997367431424E-3</v>
      </c>
      <c r="I109" s="67">
        <f t="shared" ca="1" si="9"/>
        <v>0.9256492127656234</v>
      </c>
      <c r="J109" s="12">
        <f ca="1"/>
        <v>1.0867350404129672E-2</v>
      </c>
      <c r="K109" s="12">
        <f ca="1"/>
        <v>-1.5807392996108893E-2</v>
      </c>
      <c r="L109" s="12">
        <f ca="1"/>
        <v>-9.7975429599296282E-3</v>
      </c>
      <c r="M109" s="12">
        <f ca="1"/>
        <v>2.7247956403271267E-3</v>
      </c>
      <c r="N109" s="12">
        <f ca="1"/>
        <v>6.5172054223148201E-3</v>
      </c>
      <c r="O109" s="12">
        <f ca="1"/>
        <v>0</v>
      </c>
      <c r="P109" s="12">
        <f ca="1"/>
        <v>7.9497575323952407E-3</v>
      </c>
      <c r="Q109" s="12">
        <f ca="1"/>
        <v>-1.5530445027579498E-3</v>
      </c>
      <c r="R109" s="12">
        <f ca="1"/>
        <v>1.148796498905913E-2</v>
      </c>
      <c r="S109" s="12">
        <f ca="1"/>
        <v>-3.8149737720549748E-4</v>
      </c>
      <c r="T109" s="12">
        <f ca="1"/>
        <v>1.2990847357543744E-2</v>
      </c>
      <c r="U109" s="12">
        <f ca="1"/>
        <v>3.5370852053282498E-3</v>
      </c>
      <c r="V109" s="12">
        <f ca="1"/>
        <v>1.4396720217380921E-2</v>
      </c>
      <c r="W109" s="12">
        <f ca="1"/>
        <v>8.581060373888949E-3</v>
      </c>
      <c r="X109" s="12">
        <f ca="1"/>
        <v>-5.5284716288883651E-4</v>
      </c>
      <c r="Y109" s="12">
        <f ca="1"/>
        <v>5.8002148227713768E-3</v>
      </c>
      <c r="Z109" s="12">
        <f ca="1"/>
        <v>0</v>
      </c>
    </row>
    <row r="110" spans="1:26" x14ac:dyDescent="0.2">
      <c r="A110" vm="1752">
        <f ca="1"/>
        <v>46119</v>
      </c>
      <c r="B110" s="13">
        <f ca="1"/>
        <v>1.042982036037214E-3</v>
      </c>
      <c r="C110" s="66">
        <f t="shared" ca="1" si="6"/>
        <v>1.0256916026821261</v>
      </c>
      <c r="D110" s="66">
        <f t="shared" ca="1" si="7"/>
        <v>1.0547190813061593</v>
      </c>
      <c r="E110" s="13">
        <f t="shared" ca="1" si="5"/>
        <v>-2.7521526004901431E-2</v>
      </c>
      <c r="F110" s="13">
        <f ca="1"/>
        <v>4.4010744692157822E-4</v>
      </c>
      <c r="G110" s="67">
        <f t="shared" ca="1" si="8"/>
        <v>0.95901889756906522</v>
      </c>
      <c r="H110" s="13">
        <f ca="1"/>
        <v>1.5293118096870728E-4</v>
      </c>
      <c r="I110" s="67">
        <f t="shared" ca="1" si="9"/>
        <v>0.92579077339289439</v>
      </c>
      <c r="J110" s="12">
        <f ca="1"/>
        <v>2.1064301552106368E-2</v>
      </c>
      <c r="K110" s="12">
        <f ca="1"/>
        <v>5.312577217692116E-2</v>
      </c>
      <c r="L110" s="12">
        <f ca="1"/>
        <v>1.3798167974336195E-2</v>
      </c>
      <c r="M110" s="12">
        <f ca="1"/>
        <v>6.0255198487713102E-3</v>
      </c>
      <c r="N110" s="12">
        <f ca="1"/>
        <v>-1.6964516964516951E-2</v>
      </c>
      <c r="O110" s="12">
        <f ca="1"/>
        <v>-2.7631578947368451E-2</v>
      </c>
      <c r="P110" s="12">
        <f ca="1"/>
        <v>-3.3914346557299524E-2</v>
      </c>
      <c r="Q110" s="12">
        <f ca="1"/>
        <v>-1.5822784810125556E-3</v>
      </c>
      <c r="R110" s="12">
        <f ca="1"/>
        <v>-2.0706173221046176E-2</v>
      </c>
      <c r="S110" s="12">
        <f ca="1"/>
        <v>6.2144197436631465E-2</v>
      </c>
      <c r="T110" s="12">
        <f ca="1"/>
        <v>-7.4322354998543894E-3</v>
      </c>
      <c r="U110" s="12">
        <f ca="1"/>
        <v>-5.2427470423640488E-3</v>
      </c>
      <c r="V110" s="12">
        <f ca="1"/>
        <v>4.6054795808074811E-3</v>
      </c>
      <c r="W110" s="12">
        <f ca="1"/>
        <v>9.8754178061399855E-4</v>
      </c>
      <c r="X110" s="12">
        <f ca="1"/>
        <v>1.3476817861812318E-2</v>
      </c>
      <c r="Y110" s="12">
        <f ca="1"/>
        <v>5.4463904314396849E-3</v>
      </c>
      <c r="Z110" s="12">
        <f ca="1"/>
        <v>0</v>
      </c>
    </row>
    <row r="111" spans="1:26" x14ac:dyDescent="0.2">
      <c r="A111" vm="1768">
        <f ca="1"/>
        <v>46120</v>
      </c>
      <c r="B111" s="13">
        <f ca="1"/>
        <v>2.5730017655837364E-2</v>
      </c>
      <c r="C111" s="66">
        <f t="shared" ca="1" si="6"/>
        <v>1.0520826657285813</v>
      </c>
      <c r="D111" s="66">
        <f t="shared" ca="1" si="7"/>
        <v>1.0547190813061593</v>
      </c>
      <c r="E111" s="13">
        <f t="shared" ca="1" si="5"/>
        <v>-2.4996376990857731E-3</v>
      </c>
      <c r="F111" s="13">
        <f ca="1"/>
        <v>2.5469494250781155E-2</v>
      </c>
      <c r="G111" s="67">
        <f t="shared" ca="1" si="8"/>
        <v>0.98344462386709097</v>
      </c>
      <c r="H111" s="13">
        <f ca="1"/>
        <v>2.9732071560848894E-2</v>
      </c>
      <c r="I111" s="67">
        <f t="shared" ca="1" si="9"/>
        <v>0.95331645091778561</v>
      </c>
      <c r="J111" s="12">
        <f ca="1"/>
        <v>3.556740038824735E-2</v>
      </c>
      <c r="K111" s="12">
        <f ca="1"/>
        <v>4.2937587986860759E-2</v>
      </c>
      <c r="L111" s="12">
        <f ca="1"/>
        <v>7.140678612276008E-2</v>
      </c>
      <c r="M111" s="12">
        <f ca="1"/>
        <v>6.0129183793305785E-2</v>
      </c>
      <c r="N111" s="12">
        <f ca="1"/>
        <v>1.8179423000922235E-2</v>
      </c>
      <c r="O111" s="12">
        <f ca="1"/>
        <v>6.0893098782138111E-2</v>
      </c>
      <c r="P111" s="12">
        <f ca="1"/>
        <v>3.894195444526094E-2</v>
      </c>
      <c r="Q111" s="12">
        <f ca="1"/>
        <v>5.4795992371536872E-3</v>
      </c>
      <c r="R111" s="12">
        <f ca="1"/>
        <v>2.130177514792897E-2</v>
      </c>
      <c r="S111" s="12">
        <f ca="1"/>
        <v>4.9884720184447673E-2</v>
      </c>
      <c r="T111" s="12">
        <f ca="1"/>
        <v>6.1664953751284779E-2</v>
      </c>
      <c r="U111" s="12">
        <f ca="1"/>
        <v>1.683757562598065E-2</v>
      </c>
      <c r="V111" s="12">
        <f ca="1"/>
        <v>3.4990878046498475E-2</v>
      </c>
      <c r="W111" s="12">
        <f ca="1"/>
        <v>-4.9707824239204723E-2</v>
      </c>
      <c r="X111" s="12">
        <f ca="1"/>
        <v>-4.2919519698322972E-2</v>
      </c>
      <c r="Y111" s="12">
        <f ca="1"/>
        <v>-2.2729686670207139E-2</v>
      </c>
      <c r="Z111" s="12">
        <f ca="1"/>
        <v>0</v>
      </c>
    </row>
    <row r="112" spans="1:26" x14ac:dyDescent="0.2">
      <c r="A112" vm="1785">
        <f ca="1"/>
        <v>46121</v>
      </c>
      <c r="B112" s="13">
        <f ca="1"/>
        <v>5.0060196158187107E-3</v>
      </c>
      <c r="C112" s="66">
        <f t="shared" ca="1" si="6"/>
        <v>1.0573494121906815</v>
      </c>
      <c r="D112" s="66">
        <f t="shared" ca="1" si="7"/>
        <v>1.0573494121906815</v>
      </c>
      <c r="E112" s="13">
        <f t="shared" ca="1" si="5"/>
        <v>0</v>
      </c>
      <c r="F112" s="13">
        <f ca="1"/>
        <v>5.7691454268427034E-3</v>
      </c>
      <c r="G112" s="67">
        <f t="shared" ca="1" si="8"/>
        <v>0.9891182589214268</v>
      </c>
      <c r="H112" s="13">
        <f ca="1"/>
        <v>6.7646719134122346E-3</v>
      </c>
      <c r="I112" s="67">
        <f t="shared" ca="1" si="9"/>
        <v>0.95976532393790304</v>
      </c>
      <c r="J112" s="12">
        <f ca="1"/>
        <v>5.1788778039016936E-3</v>
      </c>
      <c r="K112" s="12">
        <f ca="1"/>
        <v>3.4870641169853611E-2</v>
      </c>
      <c r="L112" s="12">
        <f ca="1"/>
        <v>2.352062057431592E-2</v>
      </c>
      <c r="M112" s="12">
        <f ca="1"/>
        <v>0</v>
      </c>
      <c r="N112" s="12">
        <f ca="1"/>
        <v>1.1515073101306728E-2</v>
      </c>
      <c r="O112" s="12">
        <f ca="1"/>
        <v>-1.6581632653061229E-2</v>
      </c>
      <c r="P112" s="12">
        <f ca="1"/>
        <v>1.4694326575514616E-2</v>
      </c>
      <c r="Q112" s="12">
        <f ca="1"/>
        <v>-3.3660139449148696E-3</v>
      </c>
      <c r="R112" s="12">
        <f ca="1"/>
        <v>6.1413673232910693E-3</v>
      </c>
      <c r="S112" s="12">
        <f ca="1"/>
        <v>1.2206599549382524E-2</v>
      </c>
      <c r="T112" s="12">
        <f ca="1"/>
        <v>-5.2551514313372572E-3</v>
      </c>
      <c r="U112" s="12">
        <f ca="1"/>
        <v>1.708290059887263E-3</v>
      </c>
      <c r="V112" s="12">
        <f ca="1"/>
        <v>5.6045197740113073E-2</v>
      </c>
      <c r="W112" s="12">
        <f ca="1"/>
        <v>-1.3975403290209187E-2</v>
      </c>
      <c r="X112" s="12">
        <f ca="1"/>
        <v>-1.3116283892373737E-2</v>
      </c>
      <c r="Y112" s="12">
        <f ca="1"/>
        <v>-9.9989131616128324E-3</v>
      </c>
      <c r="Z112" s="12">
        <f ca="1"/>
        <v>0</v>
      </c>
    </row>
    <row r="113" spans="1:26" x14ac:dyDescent="0.2">
      <c r="A113" vm="1800">
        <f ca="1"/>
        <v>46122</v>
      </c>
      <c r="B113" s="13">
        <f ca="1"/>
        <v>4.4629998477229505E-3</v>
      </c>
      <c r="C113" s="66">
        <f t="shared" ca="1" si="6"/>
        <v>1.0620683624562786</v>
      </c>
      <c r="D113" s="66">
        <f t="shared" ca="1" si="7"/>
        <v>1.0620683624562786</v>
      </c>
      <c r="E113" s="13">
        <f t="shared" ca="1" si="5"/>
        <v>0</v>
      </c>
      <c r="F113" s="13">
        <f ca="1"/>
        <v>-6.618523039813029E-4</v>
      </c>
      <c r="G113" s="67">
        <f t="shared" ca="1" si="8"/>
        <v>0.98846360872284966</v>
      </c>
      <c r="H113" s="13">
        <f ca="1"/>
        <v>1.4421737491601139E-3</v>
      </c>
      <c r="I113" s="67">
        <f t="shared" ca="1" si="9"/>
        <v>0.96114947229344039</v>
      </c>
      <c r="J113" s="12">
        <f ca="1"/>
        <v>-2.0545563738659789E-3</v>
      </c>
      <c r="K113" s="12">
        <f ca="1"/>
        <v>0.10869565217391308</v>
      </c>
      <c r="L113" s="12">
        <f ca="1"/>
        <v>2.5969962453066486E-2</v>
      </c>
      <c r="M113" s="12">
        <f ca="1"/>
        <v>-1.1077877478660181E-4</v>
      </c>
      <c r="N113" s="12">
        <f ca="1"/>
        <v>-9.0816065489895959E-3</v>
      </c>
      <c r="O113" s="12">
        <f ca="1"/>
        <v>2.4643320363164856E-2</v>
      </c>
      <c r="P113" s="12">
        <f ca="1"/>
        <v>-1.8276155811972394E-2</v>
      </c>
      <c r="Q113" s="12">
        <f ca="1"/>
        <v>-5.8970166456696615E-3</v>
      </c>
      <c r="R113" s="12">
        <f ca="1"/>
        <v>-3.8389189604193241E-5</v>
      </c>
      <c r="S113" s="12">
        <f ca="1"/>
        <v>4.688512580654236E-2</v>
      </c>
      <c r="T113" s="12">
        <f ca="1"/>
        <v>-1.0009731683581435E-2</v>
      </c>
      <c r="U113" s="12">
        <f ca="1"/>
        <v>-3.2518434541631502E-2</v>
      </c>
      <c r="V113" s="12">
        <f ca="1"/>
        <v>2.0243954632997996E-2</v>
      </c>
      <c r="W113" s="12">
        <f ca="1"/>
        <v>-7.4512027213088361E-3</v>
      </c>
      <c r="X113" s="12">
        <f ca="1"/>
        <v>-9.5083000630384884E-3</v>
      </c>
      <c r="Y113" s="12">
        <f ca="1"/>
        <v>1.2295531891535649E-2</v>
      </c>
      <c r="Z113" s="12">
        <f ca="1"/>
        <v>0</v>
      </c>
    </row>
    <row r="114" spans="1:26" x14ac:dyDescent="0.2">
      <c r="A114" vm="1813">
        <f ca="1"/>
        <v>46125</v>
      </c>
      <c r="B114" s="13">
        <f ca="1"/>
        <v>1.1539063826823705E-2</v>
      </c>
      <c r="C114" s="66">
        <f t="shared" ca="1" si="6"/>
        <v>1.0743236370791118</v>
      </c>
      <c r="D114" s="66">
        <f t="shared" ca="1" si="7"/>
        <v>1.0743236370791118</v>
      </c>
      <c r="E114" s="13">
        <f t="shared" ca="1" si="5"/>
        <v>0</v>
      </c>
      <c r="F114" s="13">
        <f ca="1"/>
        <v>9.7724663703528947E-3</v>
      </c>
      <c r="G114" s="67">
        <f t="shared" ca="1" si="8"/>
        <v>0.99812333609741133</v>
      </c>
      <c r="H114" s="13">
        <f ca="1"/>
        <v>1.0342513950938326E-2</v>
      </c>
      <c r="I114" s="67">
        <f t="shared" ca="1" si="9"/>
        <v>0.97109017411957232</v>
      </c>
      <c r="J114" s="12">
        <f ca="1"/>
        <v>1.10540985683516E-2</v>
      </c>
      <c r="K114" s="12">
        <f ca="1"/>
        <v>8.1078431372548998E-2</v>
      </c>
      <c r="L114" s="12">
        <f ca="1"/>
        <v>1.6434549828877154E-2</v>
      </c>
      <c r="M114" s="12">
        <f ca="1"/>
        <v>7.9769554619986138E-3</v>
      </c>
      <c r="N114" s="12">
        <f ca="1"/>
        <v>-1.3682715890022012E-2</v>
      </c>
      <c r="O114" s="12">
        <f ca="1"/>
        <v>1.8987341772152E-2</v>
      </c>
      <c r="P114" s="12">
        <f ca="1"/>
        <v>-1.7354263627041067E-2</v>
      </c>
      <c r="Q114" s="12">
        <f ca="1"/>
        <v>3.6400895192385541E-2</v>
      </c>
      <c r="R114" s="12">
        <f ca="1"/>
        <v>-4.9140049140050657E-3</v>
      </c>
      <c r="S114" s="12">
        <f ca="1"/>
        <v>2.2069707980083342E-2</v>
      </c>
      <c r="T114" s="12">
        <f ca="1"/>
        <v>4.6903524785844697E-2</v>
      </c>
      <c r="U114" s="12">
        <f ca="1"/>
        <v>-1.7646999909862071E-2</v>
      </c>
      <c r="V114" s="12">
        <f ca="1"/>
        <v>6.3344240288614184E-3</v>
      </c>
      <c r="W114" s="12">
        <f ca="1"/>
        <v>8.7311301509589434E-3</v>
      </c>
      <c r="X114" s="12">
        <f ca="1"/>
        <v>1.7130734553168825E-2</v>
      </c>
      <c r="Y114" s="12">
        <f ca="1"/>
        <v>4.2294761956402915E-3</v>
      </c>
      <c r="Z114" s="12">
        <f ca="1"/>
        <v>0</v>
      </c>
    </row>
    <row r="115" spans="1:26" x14ac:dyDescent="0.2">
      <c r="A115" vm="1829">
        <f ca="1"/>
        <v>46126</v>
      </c>
      <c r="B115" s="13">
        <f ca="1"/>
        <v>8.7556147180359693E-3</v>
      </c>
      <c r="C115" s="66">
        <f t="shared" ca="1" si="6"/>
        <v>1.0837300009278554</v>
      </c>
      <c r="D115" s="66">
        <f t="shared" ca="1" si="7"/>
        <v>1.0837300009278554</v>
      </c>
      <c r="E115" s="13">
        <f t="shared" ca="1" si="5"/>
        <v>0</v>
      </c>
      <c r="F115" s="13">
        <f ca="1"/>
        <v>1.2184812709517656E-2</v>
      </c>
      <c r="G115" s="67">
        <f t="shared" ca="1" si="8"/>
        <v>1.0102852820087573</v>
      </c>
      <c r="H115" s="13">
        <f ca="1"/>
        <v>1.8157080613550702E-2</v>
      </c>
      <c r="I115" s="67">
        <f t="shared" ca="1" si="9"/>
        <v>0.98872233669408838</v>
      </c>
      <c r="J115" s="12">
        <f ca="1"/>
        <v>3.5619184862629716E-2</v>
      </c>
      <c r="K115" s="12">
        <f ca="1"/>
        <v>6.2845742268976323E-2</v>
      </c>
      <c r="L115" s="12">
        <f ca="1"/>
        <v>3.5171356180824231E-2</v>
      </c>
      <c r="M115" s="12">
        <f ca="1"/>
        <v>4.2866564080017433E-3</v>
      </c>
      <c r="N115" s="12">
        <f ca="1"/>
        <v>-6.6745190420101075E-3</v>
      </c>
      <c r="O115" s="12">
        <f ca="1"/>
        <v>6.2111801242235032E-3</v>
      </c>
      <c r="P115" s="12">
        <f ca="1"/>
        <v>3.8532551978807117E-3</v>
      </c>
      <c r="Q115" s="12">
        <f ca="1"/>
        <v>2.2738507167572974E-2</v>
      </c>
      <c r="R115" s="12">
        <f ca="1"/>
        <v>-1.4274691358024949E-3</v>
      </c>
      <c r="S115" s="12">
        <f ca="1"/>
        <v>2.7123107307438499E-3</v>
      </c>
      <c r="T115" s="12">
        <f ca="1"/>
        <v>3.4205231388329871E-2</v>
      </c>
      <c r="U115" s="12">
        <f ca="1"/>
        <v>-6.1681194881990642E-3</v>
      </c>
      <c r="V115" s="12">
        <f ca="1"/>
        <v>3.8059110425611831E-2</v>
      </c>
      <c r="W115" s="12">
        <f ca="1"/>
        <v>-3.9071347678369173E-2</v>
      </c>
      <c r="X115" s="12">
        <f ca="1"/>
        <v>-2.4820106371884365E-2</v>
      </c>
      <c r="Y115" s="12">
        <f ca="1"/>
        <v>-1.3390928725701912E-2</v>
      </c>
      <c r="Z115" s="12">
        <f ca="1"/>
        <v>0</v>
      </c>
    </row>
    <row r="116" spans="1:26" x14ac:dyDescent="0.2">
      <c r="A116" vm="1843">
        <f ca="1"/>
        <v>46127</v>
      </c>
      <c r="B116" s="13">
        <f ca="1"/>
        <v>1.2422180906013896E-2</v>
      </c>
      <c r="C116" s="66">
        <f t="shared" ca="1" si="6"/>
        <v>1.0971922910526559</v>
      </c>
      <c r="D116" s="66">
        <f t="shared" ca="1" si="7"/>
        <v>1.0971922910526559</v>
      </c>
      <c r="E116" s="13">
        <f t="shared" ca="1" si="5"/>
        <v>0</v>
      </c>
      <c r="F116" s="13">
        <f ca="1"/>
        <v>7.8910232410793757E-3</v>
      </c>
      <c r="G116" s="67">
        <f t="shared" ca="1" si="8"/>
        <v>1.0182574666492088</v>
      </c>
      <c r="H116" s="13">
        <f ca="1"/>
        <v>1.3999363665287978E-2</v>
      </c>
      <c r="I116" s="67">
        <f t="shared" ca="1" si="9"/>
        <v>1.0025638202494622</v>
      </c>
      <c r="J116" s="12">
        <f ca="1"/>
        <v>1.176719704761342E-2</v>
      </c>
      <c r="K116" s="12">
        <f ca="1"/>
        <v>1.271331058020464E-2</v>
      </c>
      <c r="L116" s="12">
        <f ca="1"/>
        <v>-3.0111751634407824E-2</v>
      </c>
      <c r="M116" s="12">
        <f ca="1"/>
        <v>-4.8155849841304832E-3</v>
      </c>
      <c r="N116" s="12">
        <f ca="1"/>
        <v>-7.7733860342555916E-3</v>
      </c>
      <c r="O116" s="12">
        <f ca="1"/>
        <v>2.3456790123456805E-2</v>
      </c>
      <c r="P116" s="12">
        <f ca="1"/>
        <v>-2.3190723710515559E-3</v>
      </c>
      <c r="Q116" s="12">
        <f ca="1"/>
        <v>4.6068530436773392E-2</v>
      </c>
      <c r="R116" s="12">
        <f ca="1"/>
        <v>2.9362902291079074E-2</v>
      </c>
      <c r="S116" s="12">
        <f ca="1"/>
        <v>4.1861442302641994E-2</v>
      </c>
      <c r="T116" s="12">
        <f ca="1"/>
        <v>3.3592736705577275E-2</v>
      </c>
      <c r="U116" s="12">
        <f ca="1"/>
        <v>1.0207221994255278E-2</v>
      </c>
      <c r="V116" s="12">
        <f ca="1"/>
        <v>-2.0881856878965932E-3</v>
      </c>
      <c r="W116" s="12">
        <f ca="1"/>
        <v>1.0943682128123911E-3</v>
      </c>
      <c r="X116" s="12">
        <f ca="1"/>
        <v>-1.1282215805796247E-2</v>
      </c>
      <c r="Y116" s="12">
        <f ca="1"/>
        <v>-1.6637478108581405E-2</v>
      </c>
      <c r="Z116" s="12">
        <f ca="1"/>
        <v>0</v>
      </c>
    </row>
    <row r="117" spans="1:26" x14ac:dyDescent="0.2">
      <c r="A117" vm="1857">
        <f ca="1"/>
        <v>46128</v>
      </c>
      <c r="B117" s="13">
        <f ca="1"/>
        <v>2.3351708939112754E-3</v>
      </c>
      <c r="C117" s="66">
        <f t="shared" ca="1" si="6"/>
        <v>1.0997544225557458</v>
      </c>
      <c r="D117" s="66">
        <f t="shared" ca="1" si="7"/>
        <v>1.0997544225557458</v>
      </c>
      <c r="E117" s="13">
        <f t="shared" ca="1" si="5"/>
        <v>0</v>
      </c>
      <c r="F117" s="13">
        <f ca="1"/>
        <v>2.4573534874416936E-3</v>
      </c>
      <c r="G117" s="67">
        <f t="shared" ca="1" si="8"/>
        <v>1.0207596851859928</v>
      </c>
      <c r="H117" s="13">
        <f ca="1"/>
        <v>4.8164417947913485E-3</v>
      </c>
      <c r="I117" s="67">
        <f t="shared" ca="1" si="9"/>
        <v>1.0073926105352573</v>
      </c>
      <c r="J117" s="12">
        <f ca="1"/>
        <v>-5.0826681017730468E-3</v>
      </c>
      <c r="K117" s="12">
        <f ca="1"/>
        <v>7.3300193782122047E-3</v>
      </c>
      <c r="L117" s="12">
        <f ca="1"/>
        <v>-2.3343073449329399E-2</v>
      </c>
      <c r="M117" s="12">
        <f ca="1"/>
        <v>-4.508962938524208E-3</v>
      </c>
      <c r="N117" s="12">
        <f ca="1"/>
        <v>-1.7261983800291869E-3</v>
      </c>
      <c r="O117" s="12">
        <f ca="1"/>
        <v>3.6188178528349102E-3</v>
      </c>
      <c r="P117" s="12">
        <f ca="1"/>
        <v>4.8092337287575226E-4</v>
      </c>
      <c r="Q117" s="12">
        <f ca="1"/>
        <v>2.1983366567773777E-2</v>
      </c>
      <c r="R117" s="12">
        <f ca="1"/>
        <v>-1.1372593176444235E-2</v>
      </c>
      <c r="S117" s="12">
        <f ca="1"/>
        <v>4.4111716071788543E-3</v>
      </c>
      <c r="T117" s="12">
        <f ca="1"/>
        <v>-3.9528171665201839E-3</v>
      </c>
      <c r="U117" s="12">
        <f ca="1"/>
        <v>2.498095963442637E-3</v>
      </c>
      <c r="V117" s="12">
        <f ca="1"/>
        <v>4.8289738430582485E-3</v>
      </c>
      <c r="W117" s="12">
        <f ca="1"/>
        <v>2.2283888328287871E-2</v>
      </c>
      <c r="X117" s="12">
        <f ca="1"/>
        <v>1.7522037748093799E-2</v>
      </c>
      <c r="Y117" s="12">
        <f ca="1"/>
        <v>1.8477292965271452E-2</v>
      </c>
      <c r="Z117" s="12">
        <f ca="1"/>
        <v>0</v>
      </c>
    </row>
    <row r="118" spans="1:26" x14ac:dyDescent="0.2">
      <c r="A118" vm="1873">
        <f ca="1"/>
        <v>46129</v>
      </c>
      <c r="B118" s="13">
        <f ca="1"/>
        <v>1.0549984715132606E-2</v>
      </c>
      <c r="C118" s="66">
        <f t="shared" ca="1" si="6"/>
        <v>1.1113568149041086</v>
      </c>
      <c r="D118" s="66">
        <f t="shared" ca="1" si="7"/>
        <v>1.1113568149041086</v>
      </c>
      <c r="E118" s="13">
        <f t="shared" ca="1" si="5"/>
        <v>0</v>
      </c>
      <c r="F118" s="13">
        <f ca="1"/>
        <v>1.2085625516631948E-2</v>
      </c>
      <c r="G118" s="67">
        <f t="shared" ca="1" si="8"/>
        <v>1.0330962044836258</v>
      </c>
      <c r="H118" s="13">
        <f ca="1"/>
        <v>1.3084141333707944E-2</v>
      </c>
      <c r="I118" s="67">
        <f t="shared" ca="1" si="9"/>
        <v>1.0205734778300337</v>
      </c>
      <c r="J118" s="12">
        <f ca="1"/>
        <v>1.9923671003996724E-2</v>
      </c>
      <c r="K118" s="12">
        <f ca="1"/>
        <v>-2.2666443626631061E-2</v>
      </c>
      <c r="L118" s="12">
        <f ca="1"/>
        <v>4.4912113691224942E-2</v>
      </c>
      <c r="M118" s="12">
        <f ca="1"/>
        <v>1.8117543084401166E-2</v>
      </c>
      <c r="N118" s="12">
        <f ca="1"/>
        <v>7.4487895716943697E-3</v>
      </c>
      <c r="O118" s="12">
        <f ca="1"/>
        <v>1.9230769230769162E-2</v>
      </c>
      <c r="P118" s="12">
        <f ca="1"/>
        <v>2.1470918122095783E-2</v>
      </c>
      <c r="Q118" s="12">
        <f ca="1"/>
        <v>6.0200828058820655E-3</v>
      </c>
      <c r="R118" s="12">
        <f ca="1"/>
        <v>2.5930144267274358E-2</v>
      </c>
      <c r="S118" s="12">
        <f ca="1"/>
        <v>2.0252465681230625E-2</v>
      </c>
      <c r="T118" s="12">
        <f ca="1"/>
        <v>2.9417322834645487E-2</v>
      </c>
      <c r="U118" s="12">
        <f ca="1"/>
        <v>1.2844278319709135E-2</v>
      </c>
      <c r="V118" s="12">
        <f ca="1"/>
        <v>3.4441329595515935E-3</v>
      </c>
      <c r="W118" s="12">
        <f ca="1"/>
        <v>-4.5488196101011624E-2</v>
      </c>
      <c r="X118" s="12">
        <f ca="1"/>
        <v>-2.2110018602179093E-2</v>
      </c>
      <c r="Y118" s="12">
        <f ca="1"/>
        <v>-4.0327868852458981E-2</v>
      </c>
      <c r="Z118" s="12">
        <f ca="1"/>
        <v>0</v>
      </c>
    </row>
    <row r="119" spans="1:26" x14ac:dyDescent="0.2">
      <c r="A119" vm="1889">
        <f ca="1"/>
        <v>46132</v>
      </c>
      <c r="B119" s="13">
        <f ca="1"/>
        <v>-2.4545986286274718E-3</v>
      </c>
      <c r="C119" s="66">
        <f t="shared" ca="1" si="6"/>
        <v>1.1086288799903292</v>
      </c>
      <c r="D119" s="66">
        <f t="shared" ca="1" si="7"/>
        <v>1.1113568149041086</v>
      </c>
      <c r="E119" s="13">
        <f t="shared" ca="1" si="5"/>
        <v>-2.4545986286274792E-3</v>
      </c>
      <c r="F119" s="13">
        <f ca="1"/>
        <v>-1.999605711549779E-3</v>
      </c>
      <c r="G119" s="67">
        <f t="shared" ca="1" si="8"/>
        <v>1.0310304194125599</v>
      </c>
      <c r="H119" s="13">
        <f ca="1"/>
        <v>-3.1748478076597531E-3</v>
      </c>
      <c r="I119" s="67">
        <f t="shared" ca="1" si="9"/>
        <v>1.0173333123613892</v>
      </c>
      <c r="J119" s="12">
        <f ca="1"/>
        <v>-1.1785503830288757E-2</v>
      </c>
      <c r="K119" s="12">
        <f ca="1"/>
        <v>4.9636285836542893E-3</v>
      </c>
      <c r="L119" s="12">
        <f ca="1"/>
        <v>2.3003839396108727E-2</v>
      </c>
      <c r="M119" s="12">
        <f ca="1"/>
        <v>-6.1848958333332593E-3</v>
      </c>
      <c r="N119" s="12">
        <f ca="1"/>
        <v>-3.4327964087667029E-3</v>
      </c>
      <c r="O119" s="12">
        <f ca="1"/>
        <v>-8.2547169811321153E-3</v>
      </c>
      <c r="P119" s="12">
        <f ca="1"/>
        <v>3.2941176470588918E-3</v>
      </c>
      <c r="Q119" s="12">
        <f ca="1"/>
        <v>-1.116393481397393E-2</v>
      </c>
      <c r="R119" s="12">
        <f ca="1"/>
        <v>1.0435554897679777E-2</v>
      </c>
      <c r="S119" s="12">
        <f ca="1"/>
        <v>-1.6997097456584953E-2</v>
      </c>
      <c r="T119" s="12">
        <f ca="1"/>
        <v>-5.629665891567659E-3</v>
      </c>
      <c r="U119" s="12">
        <f ca="1"/>
        <v>-2.0502255248077139E-3</v>
      </c>
      <c r="V119" s="12">
        <f ca="1"/>
        <v>-9.0996168582375692E-3</v>
      </c>
      <c r="W119" s="12">
        <f ca="1"/>
        <v>3.5332643915890749E-3</v>
      </c>
      <c r="X119" s="12">
        <f ca="1"/>
        <v>-4.0219577150932828E-3</v>
      </c>
      <c r="Y119" s="12">
        <f ca="1"/>
        <v>2.1637626693997714E-3</v>
      </c>
      <c r="Z119" s="12">
        <f ca="1"/>
        <v>0</v>
      </c>
    </row>
    <row r="120" spans="1:26" x14ac:dyDescent="0.2">
      <c r="A120" vm="1905">
        <f ca="1"/>
        <v>46133</v>
      </c>
      <c r="B120" s="13">
        <f ca="1"/>
        <v>-1.8218336308486684E-3</v>
      </c>
      <c r="C120" s="66">
        <f t="shared" ca="1" si="6"/>
        <v>1.1066091426126328</v>
      </c>
      <c r="D120" s="66">
        <f t="shared" ca="1" si="7"/>
        <v>1.1113568149041086</v>
      </c>
      <c r="E120" s="13">
        <f t="shared" ca="1" si="5"/>
        <v>-4.2719603891442585E-3</v>
      </c>
      <c r="F120" s="13">
        <f ca="1"/>
        <v>-6.5470143357038157E-3</v>
      </c>
      <c r="G120" s="67">
        <f t="shared" ca="1" si="8"/>
        <v>1.0242802484761191</v>
      </c>
      <c r="H120" s="13">
        <f ca="1"/>
        <v>-3.8033983209386779E-3</v>
      </c>
      <c r="I120" s="67">
        <f t="shared" ca="1" si="9"/>
        <v>1.0134639885493189</v>
      </c>
      <c r="J120" s="12">
        <f ca="1"/>
        <v>-1.4698867024448226E-2</v>
      </c>
      <c r="K120" s="12">
        <f ca="1"/>
        <v>-1.9330665077067266E-2</v>
      </c>
      <c r="L120" s="12">
        <f ca="1"/>
        <v>-6.2657040170478462E-3</v>
      </c>
      <c r="M120" s="12">
        <f ca="1"/>
        <v>-1.0372311387706112E-2</v>
      </c>
      <c r="N120" s="12">
        <f ca="1"/>
        <v>-1.0333863275039712E-2</v>
      </c>
      <c r="O120" s="12">
        <f ca="1"/>
        <v>-4.7562425683711496E-3</v>
      </c>
      <c r="P120" s="12">
        <f ca="1"/>
        <v>1.3133208255159401E-2</v>
      </c>
      <c r="Q120" s="12">
        <f ca="1"/>
        <v>1.4566938550960362E-2</v>
      </c>
      <c r="R120" s="12">
        <f ca="1"/>
        <v>-2.5196850393700787E-2</v>
      </c>
      <c r="S120" s="12">
        <f ca="1"/>
        <v>6.3558791882492027E-3</v>
      </c>
      <c r="T120" s="12">
        <f ca="1"/>
        <v>-2.0061538461538353E-2</v>
      </c>
      <c r="U120" s="12">
        <f ca="1"/>
        <v>7.9872524653250565E-3</v>
      </c>
      <c r="V120" s="12">
        <f ca="1"/>
        <v>6.5651683583052289E-3</v>
      </c>
      <c r="W120" s="12">
        <f ca="1"/>
        <v>3.2717904680120258E-2</v>
      </c>
      <c r="X120" s="12">
        <f ca="1"/>
        <v>1.4897680763983567E-2</v>
      </c>
      <c r="Y120" s="12">
        <f ca="1"/>
        <v>7.5000000000000622E-3</v>
      </c>
      <c r="Z120" s="12">
        <f ca="1"/>
        <v>0</v>
      </c>
    </row>
    <row r="121" spans="1:26" x14ac:dyDescent="0.2">
      <c r="A121" vm="1921">
        <f ca="1"/>
        <v>46134</v>
      </c>
      <c r="B121" s="13">
        <f ca="1"/>
        <v>1.2646155741281943E-2</v>
      </c>
      <c r="C121" s="66">
        <f t="shared" ca="1" si="6"/>
        <v>1.1206034941748386</v>
      </c>
      <c r="D121" s="66">
        <f t="shared" ca="1" si="7"/>
        <v>1.1206034941748386</v>
      </c>
      <c r="E121" s="13">
        <f t="shared" ca="1" si="5"/>
        <v>0</v>
      </c>
      <c r="F121" s="13">
        <f ca="1"/>
        <v>1.0126690148846818E-2</v>
      </c>
      <c r="G121" s="67">
        <f t="shared" ca="1" si="8"/>
        <v>1.0346528171780205</v>
      </c>
      <c r="H121" s="13">
        <f ca="1"/>
        <v>1.6730557323110684E-2</v>
      </c>
      <c r="I121" s="67">
        <f t="shared" ca="1" si="9"/>
        <v>1.0304198059046517</v>
      </c>
      <c r="J121" s="12">
        <f ca="1"/>
        <v>2.1968711229461091E-2</v>
      </c>
      <c r="K121" s="12">
        <f ca="1"/>
        <v>6.4084751649878591E-2</v>
      </c>
      <c r="L121" s="12">
        <f ca="1"/>
        <v>-2.3364485981308469E-2</v>
      </c>
      <c r="M121" s="12">
        <f ca="1"/>
        <v>-1.8755516328331501E-3</v>
      </c>
      <c r="N121" s="12">
        <f ca="1"/>
        <v>-9.370816599733045E-4</v>
      </c>
      <c r="O121" s="12">
        <f ca="1"/>
        <v>8.3632019115891243E-3</v>
      </c>
      <c r="P121" s="12">
        <f ca="1"/>
        <v>2.9320987654319897E-3</v>
      </c>
      <c r="Q121" s="12">
        <f ca="1"/>
        <v>2.0652583930592217E-2</v>
      </c>
      <c r="R121" s="12">
        <f ca="1"/>
        <v>2.6298981853702497E-2</v>
      </c>
      <c r="S121" s="12">
        <f ca="1"/>
        <v>5.0923738717457701E-2</v>
      </c>
      <c r="T121" s="12">
        <f ca="1"/>
        <v>-1.8965084149711209E-2</v>
      </c>
      <c r="U121" s="12">
        <f ca="1"/>
        <v>-2.0978117139418551E-3</v>
      </c>
      <c r="V121" s="12">
        <f ca="1"/>
        <v>2.1807850826297548E-2</v>
      </c>
      <c r="W121" s="12">
        <f ca="1"/>
        <v>1.9457841343755167E-2</v>
      </c>
      <c r="X121" s="12">
        <f ca="1"/>
        <v>1.8281535648994041E-3</v>
      </c>
      <c r="Y121" s="12">
        <f ca="1"/>
        <v>9.3616061357997271E-3</v>
      </c>
      <c r="Z121" s="12">
        <f ca="1"/>
        <v>0</v>
      </c>
    </row>
    <row r="122" spans="1:26" x14ac:dyDescent="0.2">
      <c r="A122" vm="1936">
        <f ca="1"/>
        <v>46135</v>
      </c>
      <c r="B122" s="13">
        <f ca="1"/>
        <v>-2.667052317108494E-3</v>
      </c>
      <c r="C122" s="66">
        <f t="shared" ca="1" si="6"/>
        <v>1.1176147860291397</v>
      </c>
      <c r="D122" s="66">
        <f t="shared" ca="1" si="7"/>
        <v>1.1206034941748386</v>
      </c>
      <c r="E122" s="13">
        <f t="shared" ca="1" si="5"/>
        <v>-2.6670523171085665E-3</v>
      </c>
      <c r="F122" s="13">
        <f ca="1"/>
        <v>-3.8807103387185071E-3</v>
      </c>
      <c r="G122" s="67">
        <f t="shared" ca="1" si="8"/>
        <v>1.0306376292934136</v>
      </c>
      <c r="H122" s="13">
        <f ca="1"/>
        <v>-5.6326418464075489E-3</v>
      </c>
      <c r="I122" s="67">
        <f t="shared" ca="1" si="9"/>
        <v>1.0246158201865461</v>
      </c>
      <c r="J122" s="12">
        <f ca="1"/>
        <v>5.9218902673574547E-5</v>
      </c>
      <c r="K122" s="12">
        <f ca="1"/>
        <v>-4.1782275175452965E-2</v>
      </c>
      <c r="L122" s="12">
        <f ca="1"/>
        <v>5.4434030281182544E-2</v>
      </c>
      <c r="M122" s="12">
        <f ca="1"/>
        <v>-9.1743119266054496E-3</v>
      </c>
      <c r="N122" s="12">
        <f ca="1"/>
        <v>2.2109071419000426E-2</v>
      </c>
      <c r="O122" s="12">
        <f ca="1"/>
        <v>-1.5402843601895588E-2</v>
      </c>
      <c r="P122" s="12">
        <f ca="1"/>
        <v>1.5771657178027532E-2</v>
      </c>
      <c r="Q122" s="12">
        <f ca="1"/>
        <v>-3.9660907326988903E-2</v>
      </c>
      <c r="R122" s="12">
        <f ca="1"/>
        <v>9.5178826371844494E-4</v>
      </c>
      <c r="S122" s="12">
        <f ca="1"/>
        <v>-6.4119247604400575E-3</v>
      </c>
      <c r="T122" s="12">
        <f ca="1"/>
        <v>-2.829343233900905E-2</v>
      </c>
      <c r="U122" s="12">
        <f ca="1"/>
        <v>1.064062967022017E-2</v>
      </c>
      <c r="V122" s="12">
        <f ca="1"/>
        <v>-1.0964912280702066E-3</v>
      </c>
      <c r="W122" s="12">
        <f ca="1"/>
        <v>1.4437194127243203E-2</v>
      </c>
      <c r="X122" s="12">
        <f ca="1"/>
        <v>6.8699012451696184E-3</v>
      </c>
      <c r="Y122" s="12">
        <f ca="1"/>
        <v>-2.4583752374567336E-3</v>
      </c>
      <c r="Z122" s="12">
        <f ca="1"/>
        <v>0</v>
      </c>
    </row>
    <row r="123" spans="1:26" x14ac:dyDescent="0.2">
      <c r="A123" vm="1952">
        <f ca="1"/>
        <v>46136</v>
      </c>
      <c r="B123" s="13">
        <f ca="1"/>
        <v>5.258818837555107E-3</v>
      </c>
      <c r="C123" s="66">
        <f t="shared" ca="1" si="6"/>
        <v>1.1234921197190397</v>
      </c>
      <c r="D123" s="66">
        <f t="shared" ca="1" si="7"/>
        <v>1.1234921197190397</v>
      </c>
      <c r="E123" s="13">
        <f t="shared" ca="1" si="5"/>
        <v>0</v>
      </c>
      <c r="F123" s="13">
        <f ca="1"/>
        <v>7.7493118780436188E-3</v>
      </c>
      <c r="G123" s="67">
        <f t="shared" ca="1" si="8"/>
        <v>1.0386243617160558</v>
      </c>
      <c r="H123" s="13">
        <f ca="1"/>
        <v>1.9127444659359671E-2</v>
      </c>
      <c r="I123" s="67">
        <f t="shared" ca="1" si="9"/>
        <v>1.0442141025842686</v>
      </c>
      <c r="J123" s="12">
        <f ca="1"/>
        <v>1.3530717986676599E-2</v>
      </c>
      <c r="K123" s="12">
        <f ca="1"/>
        <v>-6.1999659342531044E-2</v>
      </c>
      <c r="L123" s="12">
        <f ca="1"/>
        <v>5.3146853146852635E-3</v>
      </c>
      <c r="M123" s="12">
        <f ca="1"/>
        <v>5.5778670236494854E-4</v>
      </c>
      <c r="N123" s="12">
        <f ca="1"/>
        <v>4.5883586785526731E-3</v>
      </c>
      <c r="O123" s="12">
        <f ca="1"/>
        <v>4.5728038507821811E-2</v>
      </c>
      <c r="P123" s="12">
        <f ca="1"/>
        <v>-1.5981216390214437E-2</v>
      </c>
      <c r="Q123" s="12">
        <f ca="1"/>
        <v>2.1334936861094445E-2</v>
      </c>
      <c r="R123" s="12">
        <f ca="1"/>
        <v>-8.6676663131332043E-3</v>
      </c>
      <c r="S123" s="12">
        <f ca="1"/>
        <v>6.7152450350049797E-3</v>
      </c>
      <c r="T123" s="12">
        <f ca="1"/>
        <v>9.4861660079050836E-3</v>
      </c>
      <c r="U123" s="12">
        <f ca="1"/>
        <v>-3.1842110451704153E-3</v>
      </c>
      <c r="V123" s="12">
        <f ca="1"/>
        <v>3.4930217970832622E-2</v>
      </c>
      <c r="W123" s="12">
        <f ca="1"/>
        <v>-2.098576827209131E-2</v>
      </c>
      <c r="X123" s="12">
        <f ca="1"/>
        <v>-1.273987206823024E-2</v>
      </c>
      <c r="Y123" s="12">
        <f ca="1"/>
        <v>-1.56827601657894E-3</v>
      </c>
      <c r="Z123" s="12">
        <f ca="1"/>
        <v>0</v>
      </c>
    </row>
    <row r="124" spans="1:26" x14ac:dyDescent="0.2">
      <c r="A124" vm="1969">
        <f ca="1"/>
        <v>46139</v>
      </c>
      <c r="B124" s="13">
        <f ca="1"/>
        <v>-1.1268809536696361E-3</v>
      </c>
      <c r="C124" s="66">
        <f t="shared" ca="1" si="6"/>
        <v>1.1222260778477304</v>
      </c>
      <c r="D124" s="66">
        <f t="shared" ca="1" si="7"/>
        <v>1.1234921197190397</v>
      </c>
      <c r="E124" s="13">
        <f t="shared" ca="1" si="5"/>
        <v>-1.1268809536696233E-3</v>
      </c>
      <c r="F124" s="13">
        <f ca="1"/>
        <v>1.7228338515840047E-3</v>
      </c>
      <c r="G124" s="67">
        <f t="shared" ca="1" si="8"/>
        <v>1.0404137389254999</v>
      </c>
      <c r="H124" s="13">
        <f ca="1"/>
        <v>5.2720371151426804E-4</v>
      </c>
      <c r="I124" s="67">
        <f t="shared" ca="1" si="9"/>
        <v>1.0447646161347666</v>
      </c>
      <c r="J124" s="12">
        <f ca="1"/>
        <v>1.8111708343070854E-2</v>
      </c>
      <c r="K124" s="12">
        <f ca="1"/>
        <v>1.7432358816052318E-2</v>
      </c>
      <c r="L124" s="12">
        <f ca="1"/>
        <v>-3.1843195449204886E-3</v>
      </c>
      <c r="M124" s="12">
        <f ca="1"/>
        <v>3.0103690489462487E-3</v>
      </c>
      <c r="N124" s="12">
        <f ca="1"/>
        <v>-1.5529166122928317E-2</v>
      </c>
      <c r="O124" s="12">
        <f ca="1"/>
        <v>3.4522439585730869E-2</v>
      </c>
      <c r="P124" s="12">
        <f ca="1"/>
        <v>-1.7934113300492438E-2</v>
      </c>
      <c r="Q124" s="12">
        <f ca="1"/>
        <v>4.7100937308641733E-4</v>
      </c>
      <c r="R124" s="12">
        <f ca="1"/>
        <v>-1.2727809341105289E-2</v>
      </c>
      <c r="S124" s="12">
        <f ca="1"/>
        <v>-1.078626170877095E-2</v>
      </c>
      <c r="T124" s="12">
        <f ca="1"/>
        <v>1.2659879926911977E-2</v>
      </c>
      <c r="U124" s="12">
        <f ca="1"/>
        <v>-1.2995104583889638E-2</v>
      </c>
      <c r="V124" s="12">
        <f ca="1"/>
        <v>-1.0871623925148732E-2</v>
      </c>
      <c r="W124" s="12">
        <f ca="1"/>
        <v>-6.5703022339025363E-4</v>
      </c>
      <c r="X124" s="12">
        <f ca="1"/>
        <v>-2.321688893688334E-3</v>
      </c>
      <c r="Y124" s="12">
        <f ca="1"/>
        <v>-2.4907438572871032E-2</v>
      </c>
      <c r="Z124" s="12">
        <f ca="1"/>
        <v>0</v>
      </c>
    </row>
    <row r="125" spans="1:26" x14ac:dyDescent="0.2">
      <c r="A125" vm="1983">
        <f ca="1"/>
        <v>46140</v>
      </c>
      <c r="B125" s="13">
        <f ca="1"/>
        <v>-8.3093745849779574E-4</v>
      </c>
      <c r="C125" s="66">
        <f t="shared" ca="1" si="6"/>
        <v>1.1212935781627436</v>
      </c>
      <c r="D125" s="66">
        <f t="shared" ca="1" si="7"/>
        <v>1.1234921197190397</v>
      </c>
      <c r="E125" s="13">
        <f t="shared" ca="1" si="5"/>
        <v>-1.9568820445718658E-3</v>
      </c>
      <c r="F125" s="13">
        <f ca="1"/>
        <v>-4.8659759218087073E-3</v>
      </c>
      <c r="G125" s="67">
        <f t="shared" ca="1" si="8"/>
        <v>1.0353511107231694</v>
      </c>
      <c r="H125" s="13">
        <f ca="1"/>
        <v>-1.0056757448474229E-2</v>
      </c>
      <c r="I125" s="67">
        <f t="shared" ca="1" si="9"/>
        <v>1.0342576717995509</v>
      </c>
      <c r="J125" s="12">
        <f ca="1"/>
        <v>-2.9266613106850858E-3</v>
      </c>
      <c r="K125" s="12">
        <f ca="1"/>
        <v>-5.8272354096020051E-2</v>
      </c>
      <c r="L125" s="12">
        <f ca="1"/>
        <v>-5.396520174921704E-2</v>
      </c>
      <c r="M125" s="12">
        <f ca="1"/>
        <v>1.111605157848583E-4</v>
      </c>
      <c r="N125" s="12">
        <f ca="1"/>
        <v>3.8573700954400714E-2</v>
      </c>
      <c r="O125" s="12">
        <f ca="1"/>
        <v>-1.0011123470522798E-2</v>
      </c>
      <c r="P125" s="12">
        <f ca="1"/>
        <v>0</v>
      </c>
      <c r="Q125" s="12">
        <f ca="1"/>
        <v>1.042794595358032E-2</v>
      </c>
      <c r="R125" s="12">
        <f ca="1"/>
        <v>1.1584021523859178E-2</v>
      </c>
      <c r="S125" s="12">
        <f ca="1"/>
        <v>-4.3926351028216182E-2</v>
      </c>
      <c r="T125" s="12">
        <f ca="1"/>
        <v>-1.2888258796237562E-3</v>
      </c>
      <c r="U125" s="12">
        <f ca="1"/>
        <v>-4.0179958116651759E-3</v>
      </c>
      <c r="V125" s="12">
        <f ca="1"/>
        <v>-5.4381127450980893E-3</v>
      </c>
      <c r="W125" s="12">
        <f ca="1"/>
        <v>2.1696252465483123E-2</v>
      </c>
      <c r="X125" s="12">
        <f ca="1"/>
        <v>1.9374391167875427E-2</v>
      </c>
      <c r="Y125" s="12">
        <f ca="1"/>
        <v>7.8241859394776458E-3</v>
      </c>
      <c r="Z125" s="12">
        <f ca="1"/>
        <v>0</v>
      </c>
    </row>
    <row r="126" spans="1:26" x14ac:dyDescent="0.2">
      <c r="A126" vm="1999">
        <f ca="1"/>
        <v>46141</v>
      </c>
      <c r="B126" s="13">
        <f ca="1"/>
        <v>2.5147165343234255E-3</v>
      </c>
      <c r="C126" s="66">
        <f t="shared" ca="1" si="6"/>
        <v>1.1241133136635799</v>
      </c>
      <c r="D126" s="66">
        <f t="shared" ca="1" si="7"/>
        <v>1.1241133136635799</v>
      </c>
      <c r="E126" s="13">
        <f t="shared" ca="1" si="5"/>
        <v>0</v>
      </c>
      <c r="F126" s="13">
        <f ca="1"/>
        <v>-1.5456167713467917E-4</v>
      </c>
      <c r="G126" s="67">
        <f t="shared" ca="1" si="8"/>
        <v>1.0351910851190729</v>
      </c>
      <c r="H126" s="13">
        <f ca="1"/>
        <v>6.1136035282489676E-3</v>
      </c>
      <c r="I126" s="67">
        <f t="shared" ca="1" si="9"/>
        <v>1.0405807131509832</v>
      </c>
      <c r="J126" s="12">
        <f ca="1"/>
        <v>-5.4676258992802929E-4</v>
      </c>
      <c r="K126" s="12">
        <f ca="1"/>
        <v>8.2061972898701763E-2</v>
      </c>
      <c r="L126" s="12">
        <f ca="1"/>
        <v>3.7701209717078132E-3</v>
      </c>
      <c r="M126" s="12">
        <f ca="1"/>
        <v>-7.6692230743581336E-3</v>
      </c>
      <c r="N126" s="12">
        <f ca="1"/>
        <v>6.6368857689853566E-3</v>
      </c>
      <c r="O126" s="12">
        <f ca="1"/>
        <v>-2.5842696629213568E-2</v>
      </c>
      <c r="P126" s="12">
        <f ca="1"/>
        <v>3.291794027745043E-3</v>
      </c>
      <c r="Q126" s="12">
        <f ca="1"/>
        <v>-1.115899825276645E-2</v>
      </c>
      <c r="R126" s="12">
        <f ca="1"/>
        <v>-1.9947545343724782E-3</v>
      </c>
      <c r="S126" s="12">
        <f ca="1"/>
        <v>1.4055973788860365E-2</v>
      </c>
      <c r="T126" s="12">
        <f ca="1"/>
        <v>-5.6781520196154123E-3</v>
      </c>
      <c r="U126" s="12">
        <f ca="1"/>
        <v>4.6981891348087945E-3</v>
      </c>
      <c r="V126" s="12">
        <f ca="1"/>
        <v>1.2860993453985392E-2</v>
      </c>
      <c r="W126" s="12">
        <f ca="1"/>
        <v>3.1611969111969174E-2</v>
      </c>
      <c r="X126" s="12">
        <f ca="1"/>
        <v>2.049267360373741E-2</v>
      </c>
      <c r="Y126" s="12">
        <f ca="1"/>
        <v>1.5070213494691176E-2</v>
      </c>
      <c r="Z126" s="12">
        <f ca="1"/>
        <v>0</v>
      </c>
    </row>
    <row r="127" spans="1:26" x14ac:dyDescent="0.2">
      <c r="A127" vm="2015">
        <f ca="1"/>
        <v>46142</v>
      </c>
      <c r="B127" s="13">
        <f ca="1"/>
        <v>1.2325985016749882E-2</v>
      </c>
      <c r="C127" s="66">
        <f t="shared" ca="1" si="6"/>
        <v>1.1379691175249262</v>
      </c>
      <c r="D127" s="66">
        <f t="shared" ca="1" si="7"/>
        <v>1.1379691175249262</v>
      </c>
      <c r="E127" s="13">
        <f t="shared" ca="1" si="5"/>
        <v>0</v>
      </c>
      <c r="F127" s="13">
        <f ca="1"/>
        <v>9.9496894235362454E-3</v>
      </c>
      <c r="G127" s="67">
        <f t="shared" ca="1" si="8"/>
        <v>1.0454909149100211</v>
      </c>
      <c r="H127" s="13">
        <f ca="1"/>
        <v>9.3262995601370857E-3</v>
      </c>
      <c r="I127" s="67">
        <f t="shared" ca="1" si="9"/>
        <v>1.0502854805983304</v>
      </c>
      <c r="J127" s="12">
        <f ca="1"/>
        <v>9.9709193515879146E-2</v>
      </c>
      <c r="K127" s="12">
        <f ca="1"/>
        <v>-2.2681495752692959E-2</v>
      </c>
      <c r="L127" s="12">
        <f ca="1"/>
        <v>7.2865634594029727E-2</v>
      </c>
      <c r="M127" s="12">
        <f ca="1"/>
        <v>2.889784946236551E-2</v>
      </c>
      <c r="N127" s="12">
        <f ca="1"/>
        <v>-1.3947001394699621E-3</v>
      </c>
      <c r="O127" s="12">
        <f ca="1"/>
        <v>-3.1141868512110649E-2</v>
      </c>
      <c r="P127" s="12">
        <f ca="1"/>
        <v>3.0622607608780772E-2</v>
      </c>
      <c r="Q127" s="12">
        <f ca="1"/>
        <v>-3.9296989115582215E-2</v>
      </c>
      <c r="R127" s="12">
        <f ca="1"/>
        <v>4.367620387163651E-3</v>
      </c>
      <c r="S127" s="12">
        <f ca="1"/>
        <v>2.9547416450857122E-2</v>
      </c>
      <c r="T127" s="12">
        <f ca="1"/>
        <v>3.1797534068786604E-2</v>
      </c>
      <c r="U127" s="12">
        <f ca="1"/>
        <v>1.5881121892116434E-2</v>
      </c>
      <c r="V127" s="12">
        <f ca="1"/>
        <v>7.6794403892943564E-3</v>
      </c>
      <c r="W127" s="12">
        <f ca="1"/>
        <v>-1.9259259259259198E-2</v>
      </c>
      <c r="X127" s="12">
        <f ca="1"/>
        <v>5.6705857871188758E-3</v>
      </c>
      <c r="Y127" s="12">
        <f ca="1"/>
        <v>1.9795298616578583E-2</v>
      </c>
      <c r="Z127" s="12">
        <f ca="1"/>
        <v>0</v>
      </c>
    </row>
    <row r="128" spans="1:26" x14ac:dyDescent="0.2">
      <c r="A128" vm="2031">
        <f ca="1"/>
        <v>46143</v>
      </c>
      <c r="B128" s="13">
        <f ca="1"/>
        <v>7.0210338895456146E-3</v>
      </c>
      <c r="C128" s="66">
        <f t="shared" ca="1" si="6"/>
        <v>1.145958837264325</v>
      </c>
      <c r="D128" s="66">
        <f t="shared" ca="1" si="7"/>
        <v>1.145958837264325</v>
      </c>
      <c r="E128" s="13">
        <f t="shared" ca="1" si="5"/>
        <v>0</v>
      </c>
      <c r="F128" s="13">
        <f ca="1"/>
        <v>2.7690423844377587E-3</v>
      </c>
      <c r="G128" s="67">
        <f t="shared" ca="1" si="8"/>
        <v>1.0483859235659516</v>
      </c>
      <c r="H128" s="13">
        <f ca="1"/>
        <v>9.5995447329797479E-3</v>
      </c>
      <c r="I128" s="67">
        <f t="shared" ca="1" si="9"/>
        <v>1.0603677430517331</v>
      </c>
      <c r="J128" s="12">
        <f ca="1"/>
        <v>3.3513117243546553E-3</v>
      </c>
      <c r="K128" s="12">
        <f ca="1"/>
        <v>6.6397849462365599E-2</v>
      </c>
      <c r="L128" s="12">
        <f ca="1"/>
        <v>-5.4796188620664932E-4</v>
      </c>
      <c r="M128" s="12">
        <f ca="1"/>
        <v>9.7975179621156983E-4</v>
      </c>
      <c r="N128" s="12">
        <f ca="1"/>
        <v>-2.2854240731337017E-3</v>
      </c>
      <c r="O128" s="12">
        <f ca="1"/>
        <v>0</v>
      </c>
      <c r="P128" s="12">
        <f ca="1"/>
        <v>-2.5013264610020958E-3</v>
      </c>
      <c r="Q128" s="12">
        <f ca="1"/>
        <v>1.6332336063563657E-2</v>
      </c>
      <c r="R128" s="12">
        <f ca="1"/>
        <v>3.2393587617468134E-2</v>
      </c>
      <c r="S128" s="12">
        <f ca="1"/>
        <v>9.2231032748004704E-3</v>
      </c>
      <c r="T128" s="12">
        <f ca="1"/>
        <v>1.2075471698113072E-2</v>
      </c>
      <c r="U128" s="12">
        <f ca="1"/>
        <v>-2.7894690152089341E-3</v>
      </c>
      <c r="V128" s="12">
        <f ca="1"/>
        <v>1.2072738247943748E-2</v>
      </c>
      <c r="W128" s="12">
        <f ca="1"/>
        <v>-2.0591508983940243E-2</v>
      </c>
      <c r="X128" s="12">
        <f ca="1"/>
        <v>-1.3863742175779903E-2</v>
      </c>
      <c r="Y128" s="12">
        <f ca="1"/>
        <v>-1.863902062424172E-2</v>
      </c>
      <c r="Z128" s="12">
        <f ca="1"/>
        <v>0</v>
      </c>
    </row>
    <row r="129" spans="1:26" x14ac:dyDescent="0.2">
      <c r="A129" vm="2045">
        <f ca="1"/>
        <v>46146</v>
      </c>
      <c r="B129" s="13">
        <f ca="1"/>
        <v>-1.68606953446062E-3</v>
      </c>
      <c r="C129" s="66">
        <f t="shared" ca="1" si="6"/>
        <v>1.1440266709810678</v>
      </c>
      <c r="D129" s="66">
        <f t="shared" ca="1" si="7"/>
        <v>1.145958837264325</v>
      </c>
      <c r="E129" s="13">
        <f t="shared" ca="1" si="5"/>
        <v>-1.6860695344605454E-3</v>
      </c>
      <c r="F129" s="13">
        <f ca="1"/>
        <v>-3.6633594671476866E-3</v>
      </c>
      <c r="G129" s="67">
        <f t="shared" ca="1" si="8"/>
        <v>1.044545309067632</v>
      </c>
      <c r="H129" s="13">
        <f ca="1"/>
        <v>-1.8838537417488199E-3</v>
      </c>
      <c r="I129" s="67">
        <f t="shared" ca="1" si="9"/>
        <v>1.0583701653113553</v>
      </c>
      <c r="J129" s="12">
        <f ca="1"/>
        <v>-9.3418923855749236E-3</v>
      </c>
      <c r="K129" s="12">
        <f ca="1"/>
        <v>5.3945046634736649E-2</v>
      </c>
      <c r="L129" s="12">
        <f ca="1"/>
        <v>8.102098626298293E-3</v>
      </c>
      <c r="M129" s="12">
        <f ca="1"/>
        <v>-1.9793365959760778E-2</v>
      </c>
      <c r="N129" s="12">
        <f ca="1"/>
        <v>-4.9630949350979447E-3</v>
      </c>
      <c r="O129" s="12">
        <f ca="1"/>
        <v>0</v>
      </c>
      <c r="P129" s="12">
        <f ca="1"/>
        <v>-9.6504559270514934E-3</v>
      </c>
      <c r="Q129" s="12">
        <f ca="1"/>
        <v>-1.9785734967666668E-3</v>
      </c>
      <c r="R129" s="12">
        <f ca="1"/>
        <v>-1.1815520811023106E-2</v>
      </c>
      <c r="S129" s="12">
        <f ca="1"/>
        <v>-1.1346372958602302E-2</v>
      </c>
      <c r="T129" s="12">
        <f ca="1"/>
        <v>1.5659955257270708E-2</v>
      </c>
      <c r="U129" s="12">
        <f ca="1"/>
        <v>1.0773944845308137E-3</v>
      </c>
      <c r="V129" s="12">
        <f ca="1"/>
        <v>1.4128084693953769E-2</v>
      </c>
      <c r="W129" s="12">
        <f ca="1"/>
        <v>1.3962172254241345E-2</v>
      </c>
      <c r="X129" s="12">
        <f ca="1"/>
        <v>8.6555106751298183E-3</v>
      </c>
      <c r="Y129" s="12">
        <f ca="1"/>
        <v>3.1467745560800342E-3</v>
      </c>
      <c r="Z129" s="12">
        <f ca="1"/>
        <v>0</v>
      </c>
    </row>
    <row r="130" spans="1:26" x14ac:dyDescent="0.2">
      <c r="A130" vm="2061">
        <f ca="1"/>
        <v>46147</v>
      </c>
      <c r="B130" s="13">
        <f ca="1"/>
        <v>4.6234342832571036E-3</v>
      </c>
      <c r="C130" s="66">
        <f t="shared" ca="1" si="6"/>
        <v>1.1493160031126421</v>
      </c>
      <c r="D130" s="66">
        <f t="shared" ca="1" si="7"/>
        <v>1.1493160031126421</v>
      </c>
      <c r="E130" s="13">
        <f t="shared" ca="1" si="5"/>
        <v>0</v>
      </c>
      <c r="F130" s="13">
        <f ca="1"/>
        <v>8.0221723931421796E-3</v>
      </c>
      <c r="G130" s="67">
        <f t="shared" ca="1" si="8"/>
        <v>1.0529248316094204</v>
      </c>
      <c r="H130" s="13">
        <f ca="1"/>
        <v>1.2974081559862016E-2</v>
      </c>
      <c r="I130" s="67">
        <f t="shared" ca="1" si="9"/>
        <v>1.0721015461566294</v>
      </c>
      <c r="J130" s="12">
        <f ca="1"/>
        <v>1.2195764408386989E-2</v>
      </c>
      <c r="K130" s="12">
        <f ca="1"/>
        <v>1.9612532886869039E-2</v>
      </c>
      <c r="L130" s="12">
        <f ca="1"/>
        <v>3.0365289905429416E-2</v>
      </c>
      <c r="M130" s="12">
        <f ca="1"/>
        <v>-3.0289581715300051E-2</v>
      </c>
      <c r="N130" s="12">
        <f ca="1"/>
        <v>3.7089141833994699E-3</v>
      </c>
      <c r="O130" s="12">
        <f ca="1"/>
        <v>-1.3110846245530494E-2</v>
      </c>
      <c r="P130" s="12">
        <f ca="1"/>
        <v>3.5295020332999361E-3</v>
      </c>
      <c r="Q130" s="12">
        <f ca="1"/>
        <v>-5.4155988588560078E-3</v>
      </c>
      <c r="R130" s="12">
        <f ca="1"/>
        <v>2.6550590615179059E-2</v>
      </c>
      <c r="S130" s="12">
        <f ca="1"/>
        <v>2.607442977190888E-2</v>
      </c>
      <c r="T130" s="12">
        <f ca="1"/>
        <v>2.6798825256975078E-2</v>
      </c>
      <c r="U130" s="12">
        <f ca="1"/>
        <v>3.5841586113607438E-3</v>
      </c>
      <c r="V130" s="12">
        <f ca="1"/>
        <v>5.513692335967546E-3</v>
      </c>
      <c r="W130" s="12">
        <f ca="1"/>
        <v>-1.272916499879917E-2</v>
      </c>
      <c r="X130" s="12">
        <f ca="1"/>
        <v>1.8722696068234068E-3</v>
      </c>
      <c r="Y130" s="12">
        <f ca="1"/>
        <v>5.0414519381580813E-3</v>
      </c>
      <c r="Z130" s="12">
        <f ca="1"/>
        <v>0</v>
      </c>
    </row>
    <row r="131" spans="1:26" x14ac:dyDescent="0.2">
      <c r="A131" vm="2077">
        <f ca="1"/>
        <v>46148</v>
      </c>
      <c r="B131" s="13">
        <f ca="1"/>
        <v>1.2270296520116184E-2</v>
      </c>
      <c r="C131" s="66">
        <f t="shared" ca="1" si="6"/>
        <v>1.1634184512661492</v>
      </c>
      <c r="D131" s="66">
        <f t="shared" ca="1" si="7"/>
        <v>1.1634184512661492</v>
      </c>
      <c r="E131" s="13">
        <f t="shared" ref="E131:E194" ca="1" si="10">(C131-D131)/D131</f>
        <v>0</v>
      </c>
      <c r="F131" s="13">
        <f ca="1"/>
        <v>1.3899443193279737E-2</v>
      </c>
      <c r="G131" s="67">
        <f t="shared" ca="1" si="8"/>
        <v>1.0675599004931693</v>
      </c>
      <c r="H131" s="13">
        <f ca="1"/>
        <v>2.0774343099426273E-2</v>
      </c>
      <c r="I131" s="67">
        <f t="shared" ca="1" si="9"/>
        <v>1.0943737515139127</v>
      </c>
      <c r="J131" s="12">
        <f ca="1"/>
        <v>2.8287402087074254E-2</v>
      </c>
      <c r="K131" s="12">
        <f ca="1"/>
        <v>7.889592618656649E-2</v>
      </c>
      <c r="L131" s="12">
        <f ca="1"/>
        <v>5.2489590053369506E-2</v>
      </c>
      <c r="M131" s="12">
        <f ca="1"/>
        <v>4.5766590389016093E-2</v>
      </c>
      <c r="N131" s="12">
        <f ca="1"/>
        <v>9.5565749235473341E-3</v>
      </c>
      <c r="O131" s="12">
        <f ca="1"/>
        <v>3.9855072463768071E-2</v>
      </c>
      <c r="P131" s="12">
        <f ca="1"/>
        <v>-5.4285495833013009E-3</v>
      </c>
      <c r="Q131" s="12">
        <f ca="1"/>
        <v>6.2715737274539052E-3</v>
      </c>
      <c r="R131" s="12">
        <f ca="1"/>
        <v>1.1717925258638795E-2</v>
      </c>
      <c r="S131" s="12">
        <f ca="1"/>
        <v>-4.4926993635342471E-3</v>
      </c>
      <c r="T131" s="12">
        <f ca="1"/>
        <v>3.7301871052318081E-2</v>
      </c>
      <c r="U131" s="12">
        <f ca="1"/>
        <v>-2.033608154109523E-2</v>
      </c>
      <c r="V131" s="12">
        <f ca="1"/>
        <v>5.2641199049534571E-3</v>
      </c>
      <c r="W131" s="12">
        <f ca="1"/>
        <v>-3.5841712617580179E-2</v>
      </c>
      <c r="X131" s="12">
        <f ca="1"/>
        <v>-3.8828903654484992E-2</v>
      </c>
      <c r="Y131" s="12">
        <f ca="1"/>
        <v>-2.7979043584884566E-2</v>
      </c>
      <c r="Z131" s="12">
        <f ca="1"/>
        <v>0</v>
      </c>
    </row>
    <row r="132" spans="1:26" x14ac:dyDescent="0.2">
      <c r="A132" vm="2094">
        <f ca="1"/>
        <v>46149</v>
      </c>
      <c r="B132" s="13">
        <f ca="1"/>
        <v>-9.57490891947896E-3</v>
      </c>
      <c r="C132" s="66">
        <f t="shared" ref="C132:C195" ca="1" si="11">C131 * (1 + B132)</f>
        <v>1.1522788255600345</v>
      </c>
      <c r="D132" s="66">
        <f t="shared" ref="D132:D195" ca="1" si="12">MAX(D131,C132)</f>
        <v>1.1634184512661492</v>
      </c>
      <c r="E132" s="13">
        <f t="shared" ca="1" si="10"/>
        <v>-9.5749089194790103E-3</v>
      </c>
      <c r="F132" s="13">
        <f ca="1"/>
        <v>-3.0661052287314083E-3</v>
      </c>
      <c r="G132" s="67">
        <f t="shared" ref="G132:G195" ca="1" si="13">G131*(1+F132)</f>
        <v>1.0642866495002832</v>
      </c>
      <c r="H132" s="13">
        <f ca="1"/>
        <v>-1.1929229486754567E-3</v>
      </c>
      <c r="I132" s="67">
        <f t="shared" ref="I132:I195" ca="1" si="14">I131*(1+H132)</f>
        <v>1.0930682479513036</v>
      </c>
      <c r="J132" s="12">
        <f ca="1"/>
        <v>4.0491977526957434E-4</v>
      </c>
      <c r="K132" s="12">
        <f ca="1"/>
        <v>-6.6241484273082962E-2</v>
      </c>
      <c r="L132" s="12">
        <f ca="1"/>
        <v>-5.268583528362869E-2</v>
      </c>
      <c r="M132" s="12">
        <f ca="1"/>
        <v>-2.6586433260393894E-2</v>
      </c>
      <c r="N132" s="12">
        <f ca="1"/>
        <v>-1.0097185409567055E-2</v>
      </c>
      <c r="O132" s="12">
        <f ca="1"/>
        <v>2.6713124274099886E-2</v>
      </c>
      <c r="P132" s="12">
        <f ca="1"/>
        <v>9.2250922509196087E-4</v>
      </c>
      <c r="Q132" s="12">
        <f ca="1"/>
        <v>1.6450864817856736E-2</v>
      </c>
      <c r="R132" s="12">
        <f ca="1"/>
        <v>-2.4346979235501109E-4</v>
      </c>
      <c r="S132" s="12">
        <f ca="1"/>
        <v>-3.0274539300488845E-2</v>
      </c>
      <c r="T132" s="12">
        <f ca="1"/>
        <v>-3.8258272058823706E-2</v>
      </c>
      <c r="U132" s="12">
        <f ca="1"/>
        <v>1.6379613356766187E-2</v>
      </c>
      <c r="V132" s="12">
        <f ca="1"/>
        <v>-1.3891414233244803E-2</v>
      </c>
      <c r="W132" s="12">
        <f ca="1"/>
        <v>-3.3809924306139716E-2</v>
      </c>
      <c r="X132" s="12">
        <f ca="1"/>
        <v>-1.4365953769712614E-2</v>
      </c>
      <c r="Y132" s="12">
        <f ca="1"/>
        <v>-3.3944954128440452E-2</v>
      </c>
      <c r="Z132" s="12">
        <f ca="1"/>
        <v>0</v>
      </c>
    </row>
    <row r="133" spans="1:26" x14ac:dyDescent="0.2">
      <c r="A133" vm="2111">
        <f ca="1"/>
        <v>46150</v>
      </c>
      <c r="B133" s="13">
        <f ca="1"/>
        <v>4.712473908967855E-3</v>
      </c>
      <c r="C133" s="66">
        <f t="shared" ca="1" si="11"/>
        <v>1.1577089094613422</v>
      </c>
      <c r="D133" s="66">
        <f t="shared" ca="1" si="12"/>
        <v>1.1634184512661492</v>
      </c>
      <c r="E133" s="13">
        <f t="shared" ca="1" si="10"/>
        <v>-4.9075565189749953E-3</v>
      </c>
      <c r="F133" s="13">
        <f ca="1"/>
        <v>8.2561032286283531E-3</v>
      </c>
      <c r="G133" s="67">
        <f t="shared" ca="1" si="13"/>
        <v>1.0730735099434086</v>
      </c>
      <c r="H133" s="13">
        <f ca="1"/>
        <v>2.3440872593317286E-2</v>
      </c>
      <c r="I133" s="67">
        <f t="shared" ca="1" si="14"/>
        <v>1.1186907214873307</v>
      </c>
      <c r="J133" s="12">
        <f ca="1"/>
        <v>4.4270174550973262E-3</v>
      </c>
      <c r="K133" s="12">
        <f ca="1"/>
        <v>-0.11401738590499844</v>
      </c>
      <c r="L133" s="12">
        <f ca="1"/>
        <v>-1.1764359871757613E-4</v>
      </c>
      <c r="M133" s="12">
        <f ca="1"/>
        <v>1.3375295043273061E-2</v>
      </c>
      <c r="N133" s="12">
        <f ca="1"/>
        <v>-1.2750223128910054E-4</v>
      </c>
      <c r="O133" s="12">
        <f ca="1"/>
        <v>3.0542986425339258E-2</v>
      </c>
      <c r="P133" s="12">
        <f ca="1"/>
        <v>1.7665130568358389E-3</v>
      </c>
      <c r="Q133" s="12">
        <f ca="1"/>
        <v>-1.3427763386172908E-2</v>
      </c>
      <c r="R133" s="12">
        <f ca="1"/>
        <v>2.0456443083773923E-2</v>
      </c>
      <c r="S133" s="12">
        <f ca="1"/>
        <v>4.2272639131277767E-2</v>
      </c>
      <c r="T133" s="12">
        <f ca="1"/>
        <v>8.4816628837653951E-3</v>
      </c>
      <c r="U133" s="12">
        <f ca="1"/>
        <v>-3.2310337331779015E-3</v>
      </c>
      <c r="V133" s="12">
        <f ca="1"/>
        <v>5.5684625880443317E-3</v>
      </c>
      <c r="W133" s="12">
        <f ca="1"/>
        <v>-8.7917827298049644E-3</v>
      </c>
      <c r="X133" s="12">
        <f ca="1"/>
        <v>-4.8219178082191672E-3</v>
      </c>
      <c r="Y133" s="12">
        <f ca="1"/>
        <v>-3.2051282051281937E-3</v>
      </c>
      <c r="Z133" s="12">
        <f ca="1"/>
        <v>0</v>
      </c>
    </row>
    <row r="134" spans="1:26" x14ac:dyDescent="0.2">
      <c r="A134" vm="2126">
        <f ca="1"/>
        <v>46153</v>
      </c>
      <c r="B134" s="13">
        <f ca="1"/>
        <v>2.9670007190360421E-3</v>
      </c>
      <c r="C134" s="66">
        <f t="shared" ca="1" si="11"/>
        <v>1.1611438326281485</v>
      </c>
      <c r="D134" s="66">
        <f t="shared" ca="1" si="12"/>
        <v>1.1634184512661492</v>
      </c>
      <c r="E134" s="13">
        <f t="shared" ca="1" si="10"/>
        <v>-1.955116523659432E-3</v>
      </c>
      <c r="F134" s="13">
        <f ca="1"/>
        <v>2.2775955098830458E-3</v>
      </c>
      <c r="G134" s="67">
        <f t="shared" ca="1" si="13"/>
        <v>1.0755175373514301</v>
      </c>
      <c r="H134" s="13">
        <f ca="1"/>
        <v>2.8963907596697425E-3</v>
      </c>
      <c r="I134" s="67">
        <f t="shared" ca="1" si="14"/>
        <v>1.121930886955975</v>
      </c>
      <c r="J134" s="12">
        <f ca="1"/>
        <v>-2.5890945724719838E-2</v>
      </c>
      <c r="K134" s="12">
        <f ca="1"/>
        <v>4.8182216381953413E-3</v>
      </c>
      <c r="L134" s="12">
        <f ca="1"/>
        <v>8.2213136453216373E-2</v>
      </c>
      <c r="M134" s="12">
        <f ca="1"/>
        <v>4.3256433007985429E-3</v>
      </c>
      <c r="N134" s="12">
        <f ca="1"/>
        <v>3.0604437643457771E-3</v>
      </c>
      <c r="O134" s="12">
        <f ca="1"/>
        <v>1.0976948408342624E-2</v>
      </c>
      <c r="P134" s="12">
        <f ca="1"/>
        <v>-2.1774131718163003E-2</v>
      </c>
      <c r="Q134" s="12">
        <f ca="1"/>
        <v>-5.9259973019849532E-3</v>
      </c>
      <c r="R134" s="12">
        <f ca="1"/>
        <v>-2.1819173598799368E-3</v>
      </c>
      <c r="S134" s="12">
        <f ca="1"/>
        <v>-3.6511627906976596E-3</v>
      </c>
      <c r="T134" s="12">
        <f ca="1"/>
        <v>5.8043117744610573E-3</v>
      </c>
      <c r="U134" s="12">
        <f ca="1"/>
        <v>-9.2387910268737494E-3</v>
      </c>
      <c r="V134" s="12">
        <f ca="1"/>
        <v>-1.3532345606571794E-2</v>
      </c>
      <c r="W134" s="12">
        <f ca="1"/>
        <v>1.4753666461754467E-2</v>
      </c>
      <c r="X134" s="12">
        <f ca="1"/>
        <v>1.7178724810043011E-2</v>
      </c>
      <c r="Y134" s="12">
        <f ca="1"/>
        <v>1.6553531022984513E-2</v>
      </c>
      <c r="Z134" s="12">
        <f ca="1"/>
        <v>0</v>
      </c>
    </row>
    <row r="135" spans="1:26" x14ac:dyDescent="0.2">
      <c r="A135" vm="2142">
        <f ca="1"/>
        <v>46154</v>
      </c>
      <c r="B135" s="13">
        <f ca="1"/>
        <v>-1.7415893516861498E-3</v>
      </c>
      <c r="C135" s="66">
        <f t="shared" ca="1" si="11"/>
        <v>1.1591215968934674</v>
      </c>
      <c r="D135" s="66">
        <f t="shared" ca="1" si="12"/>
        <v>1.1634184512661492</v>
      </c>
      <c r="E135" s="13">
        <f t="shared" ca="1" si="10"/>
        <v>-3.6933008652265411E-3</v>
      </c>
      <c r="F135" s="13">
        <f ca="1"/>
        <v>-1.5149465710807553E-3</v>
      </c>
      <c r="G135" s="67">
        <f t="shared" ca="1" si="13"/>
        <v>1.0738881857460822</v>
      </c>
      <c r="H135" s="13">
        <f ca="1"/>
        <v>-8.481823662184973E-3</v>
      </c>
      <c r="I135" s="67">
        <f t="shared" ca="1" si="14"/>
        <v>1.1124148670116556</v>
      </c>
      <c r="J135" s="12">
        <f ca="1"/>
        <v>-7.6272720221319812E-3</v>
      </c>
      <c r="K135" s="12">
        <f ca="1"/>
        <v>-6.059285091543154E-2</v>
      </c>
      <c r="L135" s="12">
        <f ca="1"/>
        <v>-2.1472059143292643E-3</v>
      </c>
      <c r="M135" s="12">
        <f ca="1"/>
        <v>-6.4053009387078363E-3</v>
      </c>
      <c r="N135" s="12">
        <f ca="1"/>
        <v>1.7416730231375688E-2</v>
      </c>
      <c r="O135" s="12">
        <f ca="1"/>
        <v>-1.1943539630836164E-2</v>
      </c>
      <c r="P135" s="12">
        <f ca="1"/>
        <v>2.163178932518206E-2</v>
      </c>
      <c r="Q135" s="12">
        <f ca="1"/>
        <v>-1.1849949110648073E-2</v>
      </c>
      <c r="R135" s="12">
        <f ca="1"/>
        <v>7.2434057673911312E-3</v>
      </c>
      <c r="S135" s="12">
        <f ca="1"/>
        <v>-2.1310365754032112E-2</v>
      </c>
      <c r="T135" s="12">
        <f ca="1"/>
        <v>-3.7686962666352297E-3</v>
      </c>
      <c r="U135" s="12">
        <f ca="1"/>
        <v>2.2421883598306991E-2</v>
      </c>
      <c r="V135" s="12">
        <f ca="1"/>
        <v>-1.1784824714673459E-2</v>
      </c>
      <c r="W135" s="12">
        <f ca="1"/>
        <v>2.0077888360017448E-2</v>
      </c>
      <c r="X135" s="12">
        <f ca="1"/>
        <v>6.5497455883944955E-3</v>
      </c>
      <c r="Y135" s="12">
        <f ca="1"/>
        <v>-1.1715089034680659E-4</v>
      </c>
      <c r="Z135" s="12">
        <f ca="1"/>
        <v>0</v>
      </c>
    </row>
    <row r="136" spans="1:26" x14ac:dyDescent="0.2">
      <c r="A136" vm="2158">
        <f ca="1"/>
        <v>46155</v>
      </c>
      <c r="B136" s="13">
        <f ca="1"/>
        <v>9.6450759575986977E-3</v>
      </c>
      <c r="C136" s="66">
        <f t="shared" ca="1" si="11"/>
        <v>1.1703014127395981</v>
      </c>
      <c r="D136" s="66">
        <f t="shared" ca="1" si="12"/>
        <v>1.1703014127395981</v>
      </c>
      <c r="E136" s="13">
        <f t="shared" ca="1" si="10"/>
        <v>0</v>
      </c>
      <c r="F136" s="13">
        <f ca="1"/>
        <v>5.594841366604264E-3</v>
      </c>
      <c r="G136" s="67">
        <f t="shared" ca="1" si="13"/>
        <v>1.0798964197908021</v>
      </c>
      <c r="H136" s="13">
        <f ca="1"/>
        <v>1.0562185396753687E-2</v>
      </c>
      <c r="I136" s="67">
        <f t="shared" ca="1" si="14"/>
        <v>1.1241643990751378</v>
      </c>
      <c r="J136" s="12">
        <f ca="1"/>
        <v>3.9654004481267435E-2</v>
      </c>
      <c r="K136" s="12">
        <f ca="1"/>
        <v>3.3039443155452375E-2</v>
      </c>
      <c r="L136" s="12">
        <f ca="1"/>
        <v>7.7901560755047061E-3</v>
      </c>
      <c r="M136" s="12">
        <f ca="1"/>
        <v>7.3357785928642727E-3</v>
      </c>
      <c r="N136" s="12">
        <f ca="1"/>
        <v>2.8739222791454022E-3</v>
      </c>
      <c r="O136" s="12">
        <f ca="1"/>
        <v>3.4065934065934167E-2</v>
      </c>
      <c r="P136" s="12">
        <f ca="1"/>
        <v>8.5922516302263663E-3</v>
      </c>
      <c r="Q136" s="12">
        <f ca="1"/>
        <v>-6.2780489001152961E-3</v>
      </c>
      <c r="R136" s="12">
        <f ca="1"/>
        <v>1.3805970149253666E-2</v>
      </c>
      <c r="S136" s="12">
        <f ca="1"/>
        <v>-5.9861674218936178E-3</v>
      </c>
      <c r="T136" s="12">
        <f ca="1"/>
        <v>6.2655160184419412E-3</v>
      </c>
      <c r="U136" s="12">
        <f ca="1"/>
        <v>1.0960191020471965E-2</v>
      </c>
      <c r="V136" s="12">
        <f ca="1"/>
        <v>1.621397938454594E-2</v>
      </c>
      <c r="W136" s="12">
        <f ca="1"/>
        <v>-3.9874437940103924E-3</v>
      </c>
      <c r="X136" s="12">
        <f ca="1"/>
        <v>2.6888948642111998E-4</v>
      </c>
      <c r="Y136" s="12">
        <f ca="1"/>
        <v>-4.9209138840068389E-3</v>
      </c>
      <c r="Z136" s="12">
        <f ca="1"/>
        <v>0</v>
      </c>
    </row>
    <row r="137" spans="1:26" x14ac:dyDescent="0.2">
      <c r="A137" vm="2174">
        <f ca="1"/>
        <v>46156</v>
      </c>
      <c r="B137" s="13">
        <f ca="1"/>
        <v>9.7943998063810302E-3</v>
      </c>
      <c r="C137" s="66">
        <f t="shared" ca="1" si="11"/>
        <v>1.1817638126699421</v>
      </c>
      <c r="D137" s="66">
        <f t="shared" ca="1" si="12"/>
        <v>1.1817638126699421</v>
      </c>
      <c r="E137" s="13">
        <f t="shared" ca="1" si="10"/>
        <v>0</v>
      </c>
      <c r="F137" s="13">
        <f ca="1"/>
        <v>7.8942759763440673E-3</v>
      </c>
      <c r="G137" s="67">
        <f t="shared" ca="1" si="13"/>
        <v>1.0884214201544966</v>
      </c>
      <c r="H137" s="13">
        <f ca="1"/>
        <v>7.1077779798798257E-3</v>
      </c>
      <c r="I137" s="67">
        <f t="shared" ca="1" si="14"/>
        <v>1.1321547100366489</v>
      </c>
      <c r="J137" s="12">
        <f ca="1"/>
        <v>-4.6862469927826389E-3</v>
      </c>
      <c r="K137" s="12">
        <f ca="1"/>
        <v>2.6098284071512046E-2</v>
      </c>
      <c r="L137" s="12">
        <f ca="1"/>
        <v>1.6865320684342766E-2</v>
      </c>
      <c r="M137" s="12">
        <f ca="1"/>
        <v>9.930486593843213E-4</v>
      </c>
      <c r="N137" s="12">
        <f ca="1"/>
        <v>2.3673062546722967E-3</v>
      </c>
      <c r="O137" s="12">
        <f ca="1"/>
        <v>3.9319872476089257E-2</v>
      </c>
      <c r="P137" s="12">
        <f ca="1"/>
        <v>7.530235034608701E-3</v>
      </c>
      <c r="Q137" s="12">
        <f ca="1"/>
        <v>1.0414353051504177E-2</v>
      </c>
      <c r="R137" s="12">
        <f ca="1"/>
        <v>-2.2083179977917533E-3</v>
      </c>
      <c r="S137" s="12">
        <f ca="1"/>
        <v>5.5183665634972012E-2</v>
      </c>
      <c r="T137" s="12">
        <f ca="1"/>
        <v>3.7124060150375948E-2</v>
      </c>
      <c r="U137" s="12">
        <f ca="1"/>
        <v>7.9083904441088482E-3</v>
      </c>
      <c r="V137" s="12">
        <f ca="1"/>
        <v>-1.0772590974715723E-2</v>
      </c>
      <c r="W137" s="12">
        <f ca="1"/>
        <v>1.3373083475298086E-2</v>
      </c>
      <c r="X137" s="12">
        <f ca="1"/>
        <v>3.4408602150537426E-3</v>
      </c>
      <c r="Y137" s="12">
        <f ca="1"/>
        <v>-4.94524902861182E-3</v>
      </c>
      <c r="Z137" s="12">
        <f ca="1"/>
        <v>0</v>
      </c>
    </row>
    <row r="138" spans="1:26" x14ac:dyDescent="0.2">
      <c r="A138" vm="2189">
        <f ca="1"/>
        <v>46157</v>
      </c>
      <c r="B138" s="13">
        <f ca="1"/>
        <v>-1.6285201794234772E-3</v>
      </c>
      <c r="C138" s="66">
        <f t="shared" ca="1" si="11"/>
        <v>1.1798392864536966</v>
      </c>
      <c r="D138" s="66">
        <f t="shared" ca="1" si="12"/>
        <v>1.1817638126699421</v>
      </c>
      <c r="E138" s="13">
        <f t="shared" ca="1" si="10"/>
        <v>-1.6285201794235423E-3</v>
      </c>
      <c r="F138" s="13">
        <f ca="1"/>
        <v>-1.2029351617947825E-2</v>
      </c>
      <c r="G138" s="67">
        <f t="shared" ca="1" si="13"/>
        <v>1.0753284161829519</v>
      </c>
      <c r="H138" s="13">
        <f ca="1"/>
        <v>-1.5087733922394042E-2</v>
      </c>
      <c r="I138" s="67">
        <f t="shared" ca="1" si="14"/>
        <v>1.1150730610126307</v>
      </c>
      <c r="J138" s="12">
        <f ca="1"/>
        <v>-9.6935820933101713E-3</v>
      </c>
      <c r="K138" s="12">
        <f ca="1"/>
        <v>-6.0543711421442103E-2</v>
      </c>
      <c r="L138" s="12">
        <f ca="1"/>
        <v>-1.4060548069000367E-2</v>
      </c>
      <c r="M138" s="12">
        <f ca="1"/>
        <v>-2.5793650793650813E-2</v>
      </c>
      <c r="N138" s="12">
        <f ca="1"/>
        <v>4.5991298943441894E-3</v>
      </c>
      <c r="O138" s="12">
        <f ca="1"/>
        <v>-1.942740286298561E-2</v>
      </c>
      <c r="P138" s="12">
        <f ca="1"/>
        <v>-7.624943379133442E-3</v>
      </c>
      <c r="Q138" s="12">
        <f ca="1"/>
        <v>3.0505825171579959E-2</v>
      </c>
      <c r="R138" s="12">
        <f ca="1"/>
        <v>6.7737500419169372E-3</v>
      </c>
      <c r="S138" s="12">
        <f ca="1"/>
        <v>-3.3197662520748628E-2</v>
      </c>
      <c r="T138" s="12">
        <f ca="1"/>
        <v>-1.4499320344358857E-2</v>
      </c>
      <c r="U138" s="12">
        <f ca="1"/>
        <v>7.3949579831933399E-3</v>
      </c>
      <c r="V138" s="12">
        <f ca="1"/>
        <v>-1.1526083376992902E-2</v>
      </c>
      <c r="W138" s="12">
        <f ca="1"/>
        <v>2.891485248381942E-2</v>
      </c>
      <c r="X138" s="12">
        <f ca="1"/>
        <v>2.3896270895842342E-2</v>
      </c>
      <c r="Y138" s="12">
        <f ca="1"/>
        <v>1.0057981303987606E-2</v>
      </c>
      <c r="Z138" s="12">
        <f ca="1"/>
        <v>0</v>
      </c>
    </row>
    <row r="139" spans="1:26" x14ac:dyDescent="0.2">
      <c r="A139" vm="2204">
        <f ca="1"/>
        <v>46160</v>
      </c>
      <c r="B139" s="13">
        <f ca="1"/>
        <v>-1.7424834539880002E-3</v>
      </c>
      <c r="C139" s="66">
        <f t="shared" ca="1" si="11"/>
        <v>1.1777834360186861</v>
      </c>
      <c r="D139" s="66">
        <f t="shared" ca="1" si="12"/>
        <v>1.1817638126699421</v>
      </c>
      <c r="E139" s="13">
        <f t="shared" ca="1" si="10"/>
        <v>-3.3681659639443933E-3</v>
      </c>
      <c r="F139" s="13">
        <f ca="1"/>
        <v>-7.0349175426487331E-4</v>
      </c>
      <c r="G139" s="67">
        <f t="shared" ca="1" si="13"/>
        <v>1.0745719315090405</v>
      </c>
      <c r="H139" s="13">
        <f ca="1"/>
        <v>-4.3022583329805908E-3</v>
      </c>
      <c r="I139" s="67">
        <f t="shared" ca="1" si="14"/>
        <v>1.110275728644007</v>
      </c>
      <c r="J139" s="12">
        <f ca="1"/>
        <v>-5.3391640394584439E-4</v>
      </c>
      <c r="K139" s="12">
        <f ca="1"/>
        <v>-3.2898415657036328E-2</v>
      </c>
      <c r="L139" s="12">
        <f ca="1"/>
        <v>-8.4137596376772428E-2</v>
      </c>
      <c r="M139" s="12">
        <f ca="1"/>
        <v>1.9800859923059466E-2</v>
      </c>
      <c r="N139" s="12">
        <f ca="1"/>
        <v>4.7018064835437912E-3</v>
      </c>
      <c r="O139" s="12">
        <f ca="1"/>
        <v>-3.3368091762252416E-2</v>
      </c>
      <c r="P139" s="12">
        <f ca="1"/>
        <v>1.4378090528718301E-2</v>
      </c>
      <c r="Q139" s="12">
        <f ca="1"/>
        <v>3.8395904436860917E-3</v>
      </c>
      <c r="R139" s="12">
        <f ca="1"/>
        <v>-7.9605635679314002E-3</v>
      </c>
      <c r="S139" s="12">
        <f ca="1"/>
        <v>-1.0536466050471649E-2</v>
      </c>
      <c r="T139" s="12">
        <f ca="1"/>
        <v>-1.0114942528735571E-2</v>
      </c>
      <c r="U139" s="12">
        <f ca="1"/>
        <v>2.6235759569092965E-2</v>
      </c>
      <c r="V139" s="12">
        <f ca="1"/>
        <v>2.7258272128418692E-3</v>
      </c>
      <c r="W139" s="12">
        <f ca="1"/>
        <v>1.7400539171636309E-2</v>
      </c>
      <c r="X139" s="12">
        <f ca="1"/>
        <v>2.6268969126111985E-2</v>
      </c>
      <c r="Y139" s="12">
        <f ca="1"/>
        <v>3.783973758200565E-2</v>
      </c>
      <c r="Z139" s="12">
        <f ca="1"/>
        <v>0</v>
      </c>
    </row>
    <row r="140" spans="1:26" x14ac:dyDescent="0.2">
      <c r="A140" vm="2219">
        <f ca="1"/>
        <v>46161</v>
      </c>
      <c r="B140" s="13">
        <f ca="1"/>
        <v>-9.7646132100756636E-3</v>
      </c>
      <c r="C140" s="66">
        <f t="shared" ca="1" si="11"/>
        <v>1.1662828363207296</v>
      </c>
      <c r="D140" s="66">
        <f t="shared" ca="1" si="12"/>
        <v>1.1817638126699421</v>
      </c>
      <c r="E140" s="13">
        <f t="shared" ca="1" si="10"/>
        <v>-1.3099890336154886E-2</v>
      </c>
      <c r="F140" s="13">
        <f ca="1"/>
        <v>-6.660800108305609E-3</v>
      </c>
      <c r="G140" s="67">
        <f t="shared" ca="1" si="13"/>
        <v>1.067414422671263</v>
      </c>
      <c r="H140" s="13">
        <f ca="1"/>
        <v>-6.1625205417351614E-3</v>
      </c>
      <c r="I140" s="67">
        <f t="shared" ca="1" si="14"/>
        <v>1.1034336316592483</v>
      </c>
      <c r="J140" s="12">
        <f ca="1"/>
        <v>-2.0884739640304351E-2</v>
      </c>
      <c r="K140" s="12">
        <f ca="1"/>
        <v>-3.8161318300086622E-2</v>
      </c>
      <c r="L140" s="12">
        <f ca="1"/>
        <v>-5.0334088835251589E-2</v>
      </c>
      <c r="M140" s="12">
        <f ca="1"/>
        <v>-1.8417840896482796E-2</v>
      </c>
      <c r="N140" s="12">
        <f ca="1"/>
        <v>8.8669950738915482E-3</v>
      </c>
      <c r="O140" s="12">
        <f ca="1"/>
        <v>-1.0787486515642097E-3</v>
      </c>
      <c r="P140" s="12">
        <f ca="1"/>
        <v>6.4496775161240194E-3</v>
      </c>
      <c r="Q140" s="12">
        <f ca="1"/>
        <v>-1.4449638759031047E-2</v>
      </c>
      <c r="R140" s="12">
        <f ca="1"/>
        <v>3.7939833467635076E-3</v>
      </c>
      <c r="S140" s="12">
        <f ca="1"/>
        <v>-2.2913645979415698E-2</v>
      </c>
      <c r="T140" s="12">
        <f ca="1"/>
        <v>-3.1003251277287536E-2</v>
      </c>
      <c r="U140" s="12">
        <f ca="1"/>
        <v>1.65819762743038E-2</v>
      </c>
      <c r="V140" s="12">
        <f ca="1"/>
        <v>-2.0841199124065679E-2</v>
      </c>
      <c r="W140" s="12">
        <f ca="1"/>
        <v>4.5768427814356638E-3</v>
      </c>
      <c r="X140" s="12">
        <f ca="1"/>
        <v>5.7617785029573376E-3</v>
      </c>
      <c r="Y140" s="12">
        <f ca="1"/>
        <v>-1.4674342476578284E-3</v>
      </c>
      <c r="Z140" s="12">
        <f ca="1"/>
        <v>0</v>
      </c>
    </row>
    <row r="141" spans="1:26" x14ac:dyDescent="0.2">
      <c r="A141" vm="2236">
        <f ca="1"/>
        <v>46162</v>
      </c>
      <c r="B141" s="13">
        <f ca="1"/>
        <v>4.0347100428142308E-3</v>
      </c>
      <c r="C141" s="66">
        <f t="shared" ca="1" si="11"/>
        <v>1.1709884493931946</v>
      </c>
      <c r="D141" s="66">
        <f t="shared" ca="1" si="12"/>
        <v>1.1817638126699421</v>
      </c>
      <c r="E141" s="13">
        <f t="shared" ca="1" si="10"/>
        <v>-9.1180345524398201E-3</v>
      </c>
      <c r="F141" s="13">
        <f ca="1"/>
        <v>1.0249001676365888E-2</v>
      </c>
      <c r="G141" s="67">
        <f t="shared" ca="1" si="13"/>
        <v>1.0783543548785979</v>
      </c>
      <c r="H141" s="13">
        <f ca="1"/>
        <v>1.6563796273858511E-2</v>
      </c>
      <c r="I141" s="67">
        <f t="shared" ca="1" si="14"/>
        <v>1.121710681535776</v>
      </c>
      <c r="J141" s="12">
        <f ca="1"/>
        <v>0</v>
      </c>
      <c r="K141" s="12">
        <f ca="1"/>
        <v>1.4727983168019154E-2</v>
      </c>
      <c r="L141" s="12">
        <f ca="1"/>
        <v>-2.1572699376995241E-2</v>
      </c>
      <c r="M141" s="12">
        <f ca="1"/>
        <v>3.978749858709163E-2</v>
      </c>
      <c r="N141" s="12">
        <f ca="1"/>
        <v>-4.5166015625E-3</v>
      </c>
      <c r="O141" s="12">
        <f ca="1"/>
        <v>1.8358531317494542E-2</v>
      </c>
      <c r="P141" s="12">
        <f ca="1"/>
        <v>-2.4962742175856922E-2</v>
      </c>
      <c r="Q141" s="12">
        <f ca="1"/>
        <v>8.7202338172582827E-3</v>
      </c>
      <c r="R141" s="12">
        <f ca="1"/>
        <v>1.0971000434826239E-2</v>
      </c>
      <c r="S141" s="12">
        <f ca="1"/>
        <v>1.6274600433016317E-2</v>
      </c>
      <c r="T141" s="12">
        <f ca="1"/>
        <v>4.0742959856201466E-3</v>
      </c>
      <c r="U141" s="12">
        <f ca="1"/>
        <v>-1.8559470721543958E-2</v>
      </c>
      <c r="V141" s="12">
        <f ca="1"/>
        <v>2.1863191177604824E-2</v>
      </c>
      <c r="W141" s="12">
        <f ca="1"/>
        <v>-2.1980657021820837E-2</v>
      </c>
      <c r="X141" s="12">
        <f ca="1"/>
        <v>-3.0012674271229334E-2</v>
      </c>
      <c r="Y141" s="12">
        <f ca="1"/>
        <v>-1.9669907302735656E-2</v>
      </c>
      <c r="Z141" s="12">
        <f ca="1"/>
        <v>0</v>
      </c>
    </row>
    <row r="142" spans="1:26" x14ac:dyDescent="0.2">
      <c r="A142" vm="2251">
        <f ca="1"/>
        <v>46163</v>
      </c>
      <c r="B142" s="13">
        <f ca="1"/>
        <v>-3.0512002108776205E-3</v>
      </c>
      <c r="C142" s="66">
        <f t="shared" ca="1" si="11"/>
        <v>1.1674155291894708</v>
      </c>
      <c r="D142" s="66">
        <f t="shared" ca="1" si="12"/>
        <v>1.1817638126699421</v>
      </c>
      <c r="E142" s="13">
        <f t="shared" ca="1" si="10"/>
        <v>-1.2141413814368266E-2</v>
      </c>
      <c r="F142" s="13">
        <f ca="1"/>
        <v>1.9831365935918388E-3</v>
      </c>
      <c r="G142" s="67">
        <f t="shared" ca="1" si="13"/>
        <v>1.0804928788606167</v>
      </c>
      <c r="H142" s="13">
        <f ca="1"/>
        <v>1.9070321811680557E-3</v>
      </c>
      <c r="I142" s="67">
        <f t="shared" ca="1" si="14"/>
        <v>1.1238498199034248</v>
      </c>
      <c r="J142" s="12">
        <f ca="1"/>
        <v>-3.7152507144712077E-3</v>
      </c>
      <c r="K142" s="12">
        <f ca="1"/>
        <v>6.2203791469194192E-2</v>
      </c>
      <c r="L142" s="12">
        <f ca="1"/>
        <v>2.4487597807837158E-2</v>
      </c>
      <c r="M142" s="12">
        <f ca="1"/>
        <v>6.522448092183275E-4</v>
      </c>
      <c r="N142" s="12">
        <f ca="1"/>
        <v>-4.6597179644389808E-3</v>
      </c>
      <c r="O142" s="12">
        <f ca="1"/>
        <v>-2.545068928950156E-2</v>
      </c>
      <c r="P142" s="12">
        <f ca="1"/>
        <v>-7.2678639663736999E-2</v>
      </c>
      <c r="Q142" s="12">
        <f ca="1"/>
        <v>-4.6786681233078609E-3</v>
      </c>
      <c r="R142" s="12">
        <f ca="1"/>
        <v>9.0653432588916338E-3</v>
      </c>
      <c r="S142" s="12">
        <f ca="1"/>
        <v>-7.6359632324779492E-3</v>
      </c>
      <c r="T142" s="12">
        <f ca="1"/>
        <v>4.7738393603036222E-4</v>
      </c>
      <c r="U142" s="12">
        <f ca="1"/>
        <v>-2.1936481038351552E-2</v>
      </c>
      <c r="V142" s="12">
        <f ca="1"/>
        <v>1.3018376665031361E-2</v>
      </c>
      <c r="W142" s="12">
        <f ca="1"/>
        <v>-1.4792415822164173E-2</v>
      </c>
      <c r="X142" s="12">
        <f ca="1"/>
        <v>-1.6725030052789913E-3</v>
      </c>
      <c r="Y142" s="12">
        <f ca="1"/>
        <v>2.42158671586723E-3</v>
      </c>
      <c r="Z142" s="12">
        <f ca="1"/>
        <v>0</v>
      </c>
    </row>
    <row r="143" spans="1:26" x14ac:dyDescent="0.2">
      <c r="A143" vm="2268">
        <f ca="1"/>
        <v>46164</v>
      </c>
      <c r="B143" s="13">
        <f ca="1"/>
        <v>-3.0687285934074019E-3</v>
      </c>
      <c r="C143" s="66">
        <f t="shared" ca="1" si="11"/>
        <v>1.1638330477746592</v>
      </c>
      <c r="D143" s="66">
        <f t="shared" ca="1" si="12"/>
        <v>1.1817638126699421</v>
      </c>
      <c r="E143" s="13">
        <f t="shared" ca="1" si="10"/>
        <v>-1.517288370403911E-2</v>
      </c>
      <c r="F143" s="13">
        <f ca="1"/>
        <v>3.9314950452391528E-3</v>
      </c>
      <c r="G143" s="67">
        <f t="shared" ca="1" si="13"/>
        <v>1.0847408312602735</v>
      </c>
      <c r="H143" s="13">
        <f ca="1"/>
        <v>4.2406684301128372E-3</v>
      </c>
      <c r="I143" s="67">
        <f t="shared" ca="1" si="14"/>
        <v>1.1286156943548773</v>
      </c>
      <c r="J143" s="12">
        <f ca="1"/>
        <v>-1.0665762641145382E-2</v>
      </c>
      <c r="K143" s="12">
        <f ca="1"/>
        <v>-1.9427402862985721E-2</v>
      </c>
      <c r="L143" s="12">
        <f ca="1"/>
        <v>1.2554112554112651E-2</v>
      </c>
      <c r="M143" s="12">
        <f ca="1"/>
        <v>-3.2590983161329135E-4</v>
      </c>
      <c r="N143" s="12">
        <f ca="1"/>
        <v>3.819145004311908E-3</v>
      </c>
      <c r="O143" s="12">
        <f ca="1"/>
        <v>-1.8498367791077275E-2</v>
      </c>
      <c r="P143" s="12">
        <f ca="1"/>
        <v>-8.8181968023735013E-3</v>
      </c>
      <c r="Q143" s="12">
        <f ca="1"/>
        <v>-1.2407836025674079E-3</v>
      </c>
      <c r="R143" s="12">
        <f ca="1"/>
        <v>1.2557788779959944E-2</v>
      </c>
      <c r="S143" s="12">
        <f ca="1"/>
        <v>-1.0372192874544828E-3</v>
      </c>
      <c r="T143" s="12">
        <f ca="1"/>
        <v>-2.958368125969224E-2</v>
      </c>
      <c r="U143" s="12">
        <f ca="1"/>
        <v>-2.1143319529725368E-2</v>
      </c>
      <c r="V143" s="12">
        <f ca="1"/>
        <v>-7.9713923862027025E-3</v>
      </c>
      <c r="W143" s="12">
        <f ca="1"/>
        <v>-7.4657818332646286E-4</v>
      </c>
      <c r="X143" s="12">
        <f ca="1"/>
        <v>2.1988377571855455E-3</v>
      </c>
      <c r="Y143" s="12">
        <f ca="1"/>
        <v>-1.4034280455539117E-2</v>
      </c>
      <c r="Z143" s="12">
        <f ca="1"/>
        <v>0</v>
      </c>
    </row>
    <row r="144" spans="1:26" x14ac:dyDescent="0.2">
      <c r="A144" vm="2285">
        <f ca="1"/>
        <v>46168</v>
      </c>
      <c r="B144" s="13">
        <f ca="1"/>
        <v>-3.7602025019867831E-3</v>
      </c>
      <c r="C144" s="66">
        <f t="shared" ca="1" si="11"/>
        <v>1.1594567998365219</v>
      </c>
      <c r="D144" s="66">
        <f t="shared" ca="1" si="12"/>
        <v>1.1817638126699421</v>
      </c>
      <c r="E144" s="13">
        <f t="shared" ca="1" si="10"/>
        <v>-1.8876033090759706E-2</v>
      </c>
      <c r="F144" s="13">
        <f ca="1"/>
        <v>6.6385923501959265E-3</v>
      </c>
      <c r="G144" s="67">
        <f t="shared" ca="1" si="13"/>
        <v>1.0919419834446231</v>
      </c>
      <c r="H144" s="13">
        <f ca="1"/>
        <v>1.775510772918576E-2</v>
      </c>
      <c r="I144" s="67">
        <f t="shared" ca="1" si="14"/>
        <v>1.148654387592998</v>
      </c>
      <c r="J144" s="12">
        <f ca="1"/>
        <v>1.4391902577890248E-2</v>
      </c>
      <c r="K144" s="12">
        <f ca="1"/>
        <v>3.7918286093470144E-3</v>
      </c>
      <c r="L144" s="12">
        <f ca="1"/>
        <v>-1.084101875038157E-2</v>
      </c>
      <c r="M144" s="12">
        <f ca="1"/>
        <v>1.8691588785046731E-2</v>
      </c>
      <c r="N144" s="12">
        <f ca="1"/>
        <v>-1.2518409425626098E-2</v>
      </c>
      <c r="O144" s="12">
        <f ca="1"/>
        <v>-1.1086474501108556E-2</v>
      </c>
      <c r="P144" s="12">
        <f ca="1"/>
        <v>-1.4134863224411709E-2</v>
      </c>
      <c r="Q144" s="12">
        <f ca="1"/>
        <v>-6.068280096519163E-3</v>
      </c>
      <c r="R144" s="12">
        <f ca="1"/>
        <v>-1.5866848002072942E-3</v>
      </c>
      <c r="S144" s="12">
        <f ca="1"/>
        <v>1.9003235620804526E-2</v>
      </c>
      <c r="T144" s="12">
        <f ca="1"/>
        <v>1.8930547019053501E-2</v>
      </c>
      <c r="U144" s="12">
        <f ca="1"/>
        <v>-2.4614875904458211E-2</v>
      </c>
      <c r="V144" s="12">
        <f ca="1"/>
        <v>-3.8675277861218715E-3</v>
      </c>
      <c r="W144" s="12">
        <f ca="1"/>
        <v>-3.2292877303669254E-2</v>
      </c>
      <c r="X144" s="12">
        <f ca="1"/>
        <v>-3.5104215640181735E-2</v>
      </c>
      <c r="Y144" s="12">
        <f ca="1"/>
        <v>-7.9337300198342176E-3</v>
      </c>
      <c r="Z144" s="12">
        <f ca="1"/>
        <v>0</v>
      </c>
    </row>
    <row r="145" spans="1:26" x14ac:dyDescent="0.2">
      <c r="A145" vm="2300">
        <f ca="1"/>
        <v>46169</v>
      </c>
      <c r="B145" s="13">
        <f ca="1"/>
        <v>-1.3093261880093345E-4</v>
      </c>
      <c r="C145" s="66">
        <f t="shared" ca="1" si="11"/>
        <v>1.1593049891213327</v>
      </c>
      <c r="D145" s="66">
        <f t="shared" ca="1" si="12"/>
        <v>1.1817638126699421</v>
      </c>
      <c r="E145" s="13">
        <f t="shared" ca="1" si="10"/>
        <v>-1.9004494221115553E-2</v>
      </c>
      <c r="F145" s="13">
        <f ca="1"/>
        <v>-1.7319708495977526E-4</v>
      </c>
      <c r="G145" s="67">
        <f t="shared" ca="1" si="13"/>
        <v>1.0917528622761452</v>
      </c>
      <c r="H145" s="13">
        <f ca="1"/>
        <v>-1.1365503642437602E-3</v>
      </c>
      <c r="I145" s="67">
        <f t="shared" ca="1" si="14"/>
        <v>1.1473488840303889</v>
      </c>
      <c r="J145" s="12">
        <f ca="1"/>
        <v>-2.5984824862268496E-5</v>
      </c>
      <c r="K145" s="12">
        <f ca="1"/>
        <v>-1.5298895079799868E-2</v>
      </c>
      <c r="L145" s="12">
        <f ca="1"/>
        <v>-1.2750455373406355E-2</v>
      </c>
      <c r="M145" s="12">
        <f ca="1"/>
        <v>1.0027736291871259E-2</v>
      </c>
      <c r="N145" s="12">
        <f ca="1"/>
        <v>1.4417101665423981E-2</v>
      </c>
      <c r="O145" s="12">
        <f ca="1"/>
        <v>-1.1210762331838042E-3</v>
      </c>
      <c r="P145" s="12">
        <f ca="1"/>
        <v>-2.5301509656727728E-4</v>
      </c>
      <c r="Q145" s="12">
        <f ca="1"/>
        <v>-8.0763406485108158E-3</v>
      </c>
      <c r="R145" s="12">
        <f ca="1"/>
        <v>8.1730613303929722E-3</v>
      </c>
      <c r="S145" s="12">
        <f ca="1"/>
        <v>-3.5544181417501708E-4</v>
      </c>
      <c r="T145" s="12">
        <f ca="1"/>
        <v>-2.3404512003860511E-2</v>
      </c>
      <c r="U145" s="12">
        <f ca="1"/>
        <v>7.5777970546320184E-4</v>
      </c>
      <c r="V145" s="12">
        <f ca="1"/>
        <v>2.4727656526819741E-2</v>
      </c>
      <c r="W145" s="12">
        <f ca="1"/>
        <v>-1.2353092562408796E-2</v>
      </c>
      <c r="X145" s="12">
        <f ca="1"/>
        <v>-1.2506090628552902E-2</v>
      </c>
      <c r="Y145" s="12">
        <f ca="1"/>
        <v>-1.4347877219804794E-2</v>
      </c>
      <c r="Z145" s="12">
        <f ca="1"/>
        <v>0</v>
      </c>
    </row>
    <row r="146" spans="1:26" x14ac:dyDescent="0.2">
      <c r="A146" vm="2315">
        <f ca="1"/>
        <v>46170</v>
      </c>
      <c r="B146" s="13">
        <f ca="1"/>
        <v>4.4127813328718839E-3</v>
      </c>
      <c r="C146" s="66">
        <f t="shared" ca="1" si="11"/>
        <v>1.1644207485364324</v>
      </c>
      <c r="D146" s="66">
        <f t="shared" ca="1" si="12"/>
        <v>1.1817638126699421</v>
      </c>
      <c r="E146" s="13">
        <f t="shared" ca="1" si="10"/>
        <v>-1.4675575565583436E-2</v>
      </c>
      <c r="F146" s="13">
        <f ca="1"/>
        <v>5.5166164752284974E-3</v>
      </c>
      <c r="G146" s="67">
        <f t="shared" ca="1" si="13"/>
        <v>1.0977756441030557</v>
      </c>
      <c r="H146" s="13">
        <f ca="1"/>
        <v>8.4310096648159139E-3</v>
      </c>
      <c r="I146" s="67">
        <f t="shared" ca="1" si="14"/>
        <v>1.1570221935605649</v>
      </c>
      <c r="J146" s="12">
        <f ca="1"/>
        <v>3.3521295117324712E-3</v>
      </c>
      <c r="K146" s="12">
        <f ca="1"/>
        <v>2.4839359355519397E-2</v>
      </c>
      <c r="L146" s="12">
        <f ca="1"/>
        <v>-1.7512039527174839E-2</v>
      </c>
      <c r="M146" s="12">
        <f ca="1"/>
        <v>-1.8272074355724532E-2</v>
      </c>
      <c r="N146" s="12">
        <f ca="1"/>
        <v>-1.482479784366586E-2</v>
      </c>
      <c r="O146" s="12">
        <f ca="1"/>
        <v>6.7340067340067034E-3</v>
      </c>
      <c r="P146" s="12">
        <f ca="1"/>
        <v>3.0369495528934642E-3</v>
      </c>
      <c r="Q146" s="12">
        <f ca="1"/>
        <v>3.4700850558557761E-2</v>
      </c>
      <c r="R146" s="12">
        <f ca="1"/>
        <v>5.340196236126582E-3</v>
      </c>
      <c r="S146" s="12">
        <f ca="1"/>
        <v>1.1188545963115581E-2</v>
      </c>
      <c r="T146" s="12">
        <f ca="1"/>
        <v>2.6683137739345275E-2</v>
      </c>
      <c r="U146" s="12">
        <f ca="1"/>
        <v>-8.4587870756906991E-3</v>
      </c>
      <c r="V146" s="12">
        <f ca="1"/>
        <v>7.9087732205258554E-3</v>
      </c>
      <c r="W146" s="12">
        <f ca="1"/>
        <v>-1.2160166768001579E-3</v>
      </c>
      <c r="X146" s="12">
        <f ca="1"/>
        <v>3.4539473684209732E-3</v>
      </c>
      <c r="Y146" s="12">
        <f ca="1"/>
        <v>2.3863500775567204E-4</v>
      </c>
      <c r="Z146" s="12">
        <f ca="1"/>
        <v>0</v>
      </c>
    </row>
    <row r="147" spans="1:26" x14ac:dyDescent="0.2">
      <c r="A147" vm="2330">
        <f ca="1"/>
        <v>46171</v>
      </c>
      <c r="B147" s="13">
        <f ca="1"/>
        <v>6.3888300180069378E-3</v>
      </c>
      <c r="C147" s="66">
        <f t="shared" ca="1" si="11"/>
        <v>1.1718600347682719</v>
      </c>
      <c r="D147" s="66">
        <f t="shared" ca="1" si="12"/>
        <v>1.1817638126699421</v>
      </c>
      <c r="E147" s="13">
        <f t="shared" ca="1" si="10"/>
        <v>-8.3805053052815361E-3</v>
      </c>
      <c r="F147" s="13">
        <f ca="1"/>
        <v>2.4913861648554469E-3</v>
      </c>
      <c r="G147" s="67">
        <f t="shared" ca="1" si="13"/>
        <v>1.1005106271548895</v>
      </c>
      <c r="H147" s="13">
        <f ca="1"/>
        <v>3.6840674279499108E-3</v>
      </c>
      <c r="I147" s="67">
        <f t="shared" ca="1" si="14"/>
        <v>1.1612847413372764</v>
      </c>
      <c r="J147" s="12">
        <f ca="1"/>
        <v>-2.5095825132083305E-2</v>
      </c>
      <c r="K147" s="12">
        <f ca="1"/>
        <v>2.4985962942167372E-2</v>
      </c>
      <c r="L147" s="12">
        <f ca="1"/>
        <v>4.8698198484944388E-3</v>
      </c>
      <c r="M147" s="12">
        <f ca="1"/>
        <v>8.4991931145776967E-3</v>
      </c>
      <c r="N147" s="12">
        <f ca="1"/>
        <v>-1.7410769804750537E-2</v>
      </c>
      <c r="O147" s="12">
        <f ca="1"/>
        <v>1.4492753623188248E-2</v>
      </c>
      <c r="P147" s="12">
        <f ca="1"/>
        <v>-2.6492851135408002E-2</v>
      </c>
      <c r="Q147" s="12">
        <f ca="1"/>
        <v>5.4450923909225013E-2</v>
      </c>
      <c r="R147" s="12">
        <f ca="1"/>
        <v>-1.4399539214744461E-3</v>
      </c>
      <c r="S147" s="12">
        <f ca="1"/>
        <v>4.7329926391298294E-2</v>
      </c>
      <c r="T147" s="12">
        <f ca="1"/>
        <v>4.6444471182769842E-2</v>
      </c>
      <c r="U147" s="12">
        <f ca="1"/>
        <v>-3.9067524115755647E-2</v>
      </c>
      <c r="V147" s="12">
        <f ca="1"/>
        <v>-1.226277372262774E-2</v>
      </c>
      <c r="W147" s="12">
        <f ca="1"/>
        <v>-8.7833724671709801E-3</v>
      </c>
      <c r="X147" s="12">
        <f ca="1"/>
        <v>-3.1142435666283719E-3</v>
      </c>
      <c r="Y147" s="12">
        <f ca="1"/>
        <v>3.4593820827866217E-3</v>
      </c>
      <c r="Z147" s="12">
        <f ca="1"/>
        <v>0</v>
      </c>
    </row>
    <row r="148" spans="1:26" x14ac:dyDescent="0.2">
      <c r="A148" vm="2344">
        <f ca="1"/>
        <v>46174</v>
      </c>
      <c r="B148" s="13">
        <f ca="1"/>
        <v>7.1178658147920994E-3</v>
      </c>
      <c r="C148" s="66">
        <f t="shared" ca="1" si="11"/>
        <v>1.18020117724947</v>
      </c>
      <c r="D148" s="66">
        <f t="shared" ca="1" si="12"/>
        <v>1.1817638126699421</v>
      </c>
      <c r="E148" s="13">
        <f t="shared" ca="1" si="10"/>
        <v>-1.3222908027126338E-3</v>
      </c>
      <c r="F148" s="13">
        <f ca="1"/>
        <v>2.723138747884768E-3</v>
      </c>
      <c r="G148" s="67">
        <f t="shared" ca="1" si="13"/>
        <v>1.1035074702861538</v>
      </c>
      <c r="H148" s="13">
        <f ca="1"/>
        <v>6.0001896222454665E-3</v>
      </c>
      <c r="I148" s="67">
        <f t="shared" ca="1" si="14"/>
        <v>1.1682526699907203</v>
      </c>
      <c r="J148" s="12">
        <f ca="1"/>
        <v>-1.0227665170151168E-2</v>
      </c>
      <c r="K148" s="12">
        <f ca="1"/>
        <v>0.13959645759152739</v>
      </c>
      <c r="L148" s="12">
        <f ca="1"/>
        <v>2.4326122074055379E-2</v>
      </c>
      <c r="M148" s="12">
        <f ca="1"/>
        <v>-5.9739705568592205E-3</v>
      </c>
      <c r="N148" s="12">
        <f ca="1"/>
        <v>-4.6829515251234355E-3</v>
      </c>
      <c r="O148" s="12">
        <f ca="1"/>
        <v>4.5054945054945117E-2</v>
      </c>
      <c r="P148" s="12">
        <f ca="1"/>
        <v>-9.9352051835853716E-3</v>
      </c>
      <c r="Q148" s="12">
        <f ca="1"/>
        <v>2.2832267235252335E-2</v>
      </c>
      <c r="R148" s="12">
        <f ca="1"/>
        <v>-1.8425943728770156E-2</v>
      </c>
      <c r="S148" s="12">
        <f ca="1"/>
        <v>2.9545403675269366E-2</v>
      </c>
      <c r="T148" s="12">
        <f ca="1"/>
        <v>1.9776934575140848E-2</v>
      </c>
      <c r="U148" s="12">
        <f ca="1"/>
        <v>-1.0676342646812831E-2</v>
      </c>
      <c r="V148" s="12">
        <f ca="1"/>
        <v>-3.4658587052911582E-2</v>
      </c>
      <c r="W148" s="12">
        <f ca="1"/>
        <v>1.4037550447446812E-2</v>
      </c>
      <c r="X148" s="12">
        <f ca="1"/>
        <v>1.8469801600350833E-2</v>
      </c>
      <c r="Y148" s="12">
        <f ca="1"/>
        <v>1.5335235378031387E-2</v>
      </c>
      <c r="Z148" s="12">
        <f ca="1"/>
        <v>0</v>
      </c>
    </row>
    <row r="149" spans="1:26" x14ac:dyDescent="0.2">
      <c r="A149" vm="2359">
        <f ca="1"/>
        <v>46175</v>
      </c>
      <c r="B149" s="13">
        <f ca="1"/>
        <v>7.2678857370596275E-4</v>
      </c>
      <c r="C149" s="66">
        <f t="shared" ca="1" si="11"/>
        <v>1.1810589339797692</v>
      </c>
      <c r="D149" s="66">
        <f t="shared" ca="1" si="12"/>
        <v>1.1817638126699421</v>
      </c>
      <c r="E149" s="13">
        <f t="shared" ca="1" si="10"/>
        <v>-5.9646325485323572E-4</v>
      </c>
      <c r="F149" s="13">
        <f ca="1"/>
        <v>1.3578717008992935E-3</v>
      </c>
      <c r="G149" s="67">
        <f t="shared" ca="1" si="13"/>
        <v>1.1050058918517864</v>
      </c>
      <c r="H149" s="13">
        <f ca="1"/>
        <v>4.6045722594716398E-3</v>
      </c>
      <c r="I149" s="67">
        <f t="shared" ca="1" si="14"/>
        <v>1.1736319738270133</v>
      </c>
      <c r="J149" s="12">
        <f ca="1"/>
        <v>-3.8085780235117328E-2</v>
      </c>
      <c r="K149" s="12">
        <f ca="1"/>
        <v>-4.4464028200608907E-2</v>
      </c>
      <c r="L149" s="12">
        <f ca="1"/>
        <v>3.4323881381613575E-2</v>
      </c>
      <c r="M149" s="12">
        <f ca="1"/>
        <v>2.1785790942262073E-2</v>
      </c>
      <c r="N149" s="12">
        <f ca="1"/>
        <v>-2.9247202441505804E-3</v>
      </c>
      <c r="O149" s="12">
        <f ca="1"/>
        <v>-1.5772870662460581E-2</v>
      </c>
      <c r="P149" s="12">
        <f ca="1"/>
        <v>-1.3438045375218088E-2</v>
      </c>
      <c r="Q149" s="12">
        <f ca="1"/>
        <v>-4.1713714930947554E-2</v>
      </c>
      <c r="R149" s="12">
        <f ca="1"/>
        <v>2.9022885312265378E-2</v>
      </c>
      <c r="S149" s="12">
        <f ca="1"/>
        <v>4.6959584320716452E-2</v>
      </c>
      <c r="T149" s="12">
        <f ca="1"/>
        <v>3.3825684970123504E-4</v>
      </c>
      <c r="U149" s="12">
        <f ca="1"/>
        <v>8.6247899292892782E-3</v>
      </c>
      <c r="V149" s="12">
        <f ca="1"/>
        <v>-1.814284620684381E-2</v>
      </c>
      <c r="W149" s="12">
        <f ca="1"/>
        <v>1.1161100536424939E-2</v>
      </c>
      <c r="X149" s="12">
        <f ca="1"/>
        <v>9.2557714039713801E-3</v>
      </c>
      <c r="Y149" s="12">
        <f ca="1"/>
        <v>1.6508605549701461E-2</v>
      </c>
      <c r="Z149" s="12">
        <f ca="1"/>
        <v>0</v>
      </c>
    </row>
    <row r="150" spans="1:26" x14ac:dyDescent="0.2">
      <c r="A150" vm="2374">
        <f ca="1"/>
        <v>46176</v>
      </c>
      <c r="B150" s="13">
        <f ca="1"/>
        <v>-8.6141763378537444E-3</v>
      </c>
      <c r="C150" s="66">
        <f t="shared" ca="1" si="11"/>
        <v>1.1708850840570699</v>
      </c>
      <c r="D150" s="66">
        <f t="shared" ca="1" si="12"/>
        <v>1.1817638126699421</v>
      </c>
      <c r="E150" s="13">
        <f t="shared" ca="1" si="10"/>
        <v>-9.2055015530506431E-3</v>
      </c>
      <c r="F150" s="13">
        <f ca="1"/>
        <v>-7.0171281119580931E-3</v>
      </c>
      <c r="G150" s="67">
        <f t="shared" ca="1" si="13"/>
        <v>1.097251923944194</v>
      </c>
      <c r="H150" s="13">
        <f ca="1"/>
        <v>-2.6133805082019235E-3</v>
      </c>
      <c r="I150" s="67">
        <f t="shared" ca="1" si="14"/>
        <v>1.1705648269028113</v>
      </c>
      <c r="J150" s="12">
        <f ca="1"/>
        <v>-7.561594910572178E-3</v>
      </c>
      <c r="K150" s="12">
        <f ca="1"/>
        <v>-6.9925379391296949E-2</v>
      </c>
      <c r="L150" s="12">
        <f ca="1"/>
        <v>-9.1183592932524427E-3</v>
      </c>
      <c r="M150" s="12">
        <f ca="1"/>
        <v>-1.6489864510030428E-2</v>
      </c>
      <c r="N150" s="12">
        <f ca="1"/>
        <v>4.4637163627090359E-3</v>
      </c>
      <c r="O150" s="12">
        <f ca="1"/>
        <v>6.4102564102563875E-3</v>
      </c>
      <c r="P150" s="12">
        <f ca="1"/>
        <v>3.3875818149655013E-2</v>
      </c>
      <c r="Q150" s="12">
        <f ca="1"/>
        <v>-3.1655752192336517E-2</v>
      </c>
      <c r="R150" s="12">
        <f ca="1"/>
        <v>-1.5672588832487344E-2</v>
      </c>
      <c r="S150" s="12">
        <f ca="1"/>
        <v>-4.859106671927238E-3</v>
      </c>
      <c r="T150" s="12">
        <f ca="1"/>
        <v>-1.7696122633002576E-2</v>
      </c>
      <c r="U150" s="12">
        <f ca="1"/>
        <v>7.9222861454306681E-3</v>
      </c>
      <c r="V150" s="12">
        <f ca="1"/>
        <v>-2.5339154841727662E-2</v>
      </c>
      <c r="W150" s="12">
        <f ca="1"/>
        <v>1.8653204415162161E-2</v>
      </c>
      <c r="X150" s="12">
        <f ca="1"/>
        <v>1.1516928818981587E-2</v>
      </c>
      <c r="Y150" s="12">
        <f ca="1"/>
        <v>-5.7590416954611534E-4</v>
      </c>
      <c r="Z150" s="12">
        <f ca="1"/>
        <v>0</v>
      </c>
    </row>
    <row r="151" spans="1:26" x14ac:dyDescent="0.2">
      <c r="A151" vm="2389">
        <f ca="1"/>
        <v>46177</v>
      </c>
      <c r="B151" s="13">
        <f ca="1"/>
        <v>-7.7921730192355059E-3</v>
      </c>
      <c r="C151" s="66">
        <f t="shared" ca="1" si="11"/>
        <v>1.1617613448964552</v>
      </c>
      <c r="D151" s="66">
        <f t="shared" ca="1" si="12"/>
        <v>1.1817638126699421</v>
      </c>
      <c r="E151" s="13">
        <f t="shared" ca="1" si="10"/>
        <v>-1.6925943711455862E-2</v>
      </c>
      <c r="F151" s="13">
        <f ca="1"/>
        <v>3.7786380992788082E-3</v>
      </c>
      <c r="G151" s="67">
        <f t="shared" ca="1" si="13"/>
        <v>1.1013980418685165</v>
      </c>
      <c r="H151" s="13">
        <f ca="1"/>
        <v>-4.8373442979804393E-3</v>
      </c>
      <c r="I151" s="67">
        <f t="shared" ca="1" si="14"/>
        <v>1.1649024018119765</v>
      </c>
      <c r="J151" s="12">
        <f ca="1"/>
        <v>3.8208502024291491E-2</v>
      </c>
      <c r="K151" s="12">
        <f ca="1"/>
        <v>-2.6142612458307068E-2</v>
      </c>
      <c r="L151" s="12">
        <f ca="1"/>
        <v>-2.2688872797489656E-2</v>
      </c>
      <c r="M151" s="12">
        <f ca="1"/>
        <v>-1.0892780862879037E-2</v>
      </c>
      <c r="N151" s="12">
        <f ca="1"/>
        <v>-2.4631792788217477E-2</v>
      </c>
      <c r="O151" s="12">
        <f ca="1"/>
        <v>-2.5477707006369421E-2</v>
      </c>
      <c r="P151" s="12">
        <f ca="1"/>
        <v>7.2717939943536258E-3</v>
      </c>
      <c r="Q151" s="12">
        <f ca="1"/>
        <v>1.6614405391492948E-3</v>
      </c>
      <c r="R151" s="12">
        <f ca="1"/>
        <v>3.1264101076518003E-3</v>
      </c>
      <c r="S151" s="12">
        <f ca="1"/>
        <v>-0.12586858084844432</v>
      </c>
      <c r="T151" s="12">
        <f ca="1"/>
        <v>-1.0327022375214989E-3</v>
      </c>
      <c r="U151" s="12">
        <f ca="1"/>
        <v>1.0937483754925426E-2</v>
      </c>
      <c r="V151" s="12">
        <f ca="1"/>
        <v>1.5078793696504222E-2</v>
      </c>
      <c r="W151" s="12">
        <f ca="1"/>
        <v>1.5119697606047477E-3</v>
      </c>
      <c r="X151" s="12">
        <f ca="1"/>
        <v>-7.1688366454062402E-3</v>
      </c>
      <c r="Y151" s="12">
        <f ca="1"/>
        <v>-4.6098882102096894E-4</v>
      </c>
      <c r="Z151" s="12">
        <f ca="1"/>
        <v>0</v>
      </c>
    </row>
    <row r="152" spans="1:26" x14ac:dyDescent="0.2">
      <c r="A152" vm="2405">
        <f ca="1"/>
        <v>46178</v>
      </c>
      <c r="B152" s="13">
        <f ca="1"/>
        <v>-2.2803645801573683E-2</v>
      </c>
      <c r="C152" s="66">
        <f t="shared" ca="1" si="11"/>
        <v>1.1352689506814766</v>
      </c>
      <c r="D152" s="66">
        <f t="shared" ca="1" si="12"/>
        <v>1.1817638126699421</v>
      </c>
      <c r="E152" s="13">
        <f t="shared" ca="1" si="10"/>
        <v>-3.9343616287776106E-2</v>
      </c>
      <c r="F152" s="13">
        <f ca="1"/>
        <v>-2.5809348954549782E-2</v>
      </c>
      <c r="G152" s="67">
        <f t="shared" ca="1" si="13"/>
        <v>1.0729716754680743</v>
      </c>
      <c r="H152" s="13">
        <f ca="1"/>
        <v>-4.8000972171588385E-2</v>
      </c>
      <c r="I152" s="67">
        <f t="shared" ca="1" si="14"/>
        <v>1.1089859540399833</v>
      </c>
      <c r="J152" s="12">
        <f ca="1"/>
        <v>-9.5052400682427152E-3</v>
      </c>
      <c r="K152" s="12">
        <f ca="1"/>
        <v>-7.0721095991854166E-2</v>
      </c>
      <c r="L152" s="12">
        <f ca="1"/>
        <v>-7.2270931094097435E-2</v>
      </c>
      <c r="M152" s="12">
        <f ca="1"/>
        <v>-1.9650183545670608E-2</v>
      </c>
      <c r="N152" s="12">
        <f ca="1"/>
        <v>3.4626399375162764E-2</v>
      </c>
      <c r="O152" s="12">
        <f ca="1"/>
        <v>-5.0108932461873534E-2</v>
      </c>
      <c r="P152" s="12">
        <f ca="1"/>
        <v>9.682350942755269E-3</v>
      </c>
      <c r="Q152" s="12">
        <f ca="1"/>
        <v>-2.6585679243079086E-2</v>
      </c>
      <c r="R152" s="12">
        <f ca="1"/>
        <v>-1.2498795103299987E-2</v>
      </c>
      <c r="S152" s="12">
        <f ca="1"/>
        <v>-7.9205557279606653E-2</v>
      </c>
      <c r="T152" s="12">
        <f ca="1"/>
        <v>-3.0553641167011203E-2</v>
      </c>
      <c r="U152" s="12">
        <f ca="1"/>
        <v>-4.9364940607810048E-4</v>
      </c>
      <c r="V152" s="12">
        <f ca="1"/>
        <v>-3.057646085346144E-2</v>
      </c>
      <c r="W152" s="12">
        <f ca="1"/>
        <v>-1.7529145349324815E-2</v>
      </c>
      <c r="X152" s="12">
        <f ca="1"/>
        <v>-5.521635253517343E-3</v>
      </c>
      <c r="Y152" s="12">
        <f ca="1"/>
        <v>-1.5334947538337307E-2</v>
      </c>
      <c r="Z152" s="12">
        <f ca="1"/>
        <v>0</v>
      </c>
    </row>
    <row r="153" spans="1:26" x14ac:dyDescent="0.2">
      <c r="A153" vm="2421">
        <f ca="1"/>
        <v>46181</v>
      </c>
      <c r="B153" s="13">
        <f ca="1"/>
        <v>4.0461726487400139E-4</v>
      </c>
      <c r="C153" s="66">
        <f t="shared" ca="1" si="11"/>
        <v>1.1357283000991976</v>
      </c>
      <c r="D153" s="66">
        <f t="shared" ca="1" si="12"/>
        <v>1.1817638126699421</v>
      </c>
      <c r="E153" s="13">
        <f t="shared" ca="1" si="10"/>
        <v>-3.8954918129314849E-2</v>
      </c>
      <c r="F153" s="13">
        <f ca="1"/>
        <v>2.264253270964689E-3</v>
      </c>
      <c r="G153" s="67">
        <f t="shared" ca="1" si="13"/>
        <v>1.0754011550939053</v>
      </c>
      <c r="H153" s="13">
        <f ca="1"/>
        <v>1.5615692281508053E-2</v>
      </c>
      <c r="I153" s="67">
        <f t="shared" ca="1" si="14"/>
        <v>1.1263035374427863</v>
      </c>
      <c r="J153" s="12">
        <f ca="1"/>
        <v>-1.2549212598425119E-2</v>
      </c>
      <c r="K153" s="12">
        <f ca="1"/>
        <v>1.9723079988046566E-2</v>
      </c>
      <c r="L153" s="12">
        <f ca="1"/>
        <v>1.9966057701914508E-4</v>
      </c>
      <c r="M153" s="12">
        <f ca="1"/>
        <v>8.0396475770925235E-3</v>
      </c>
      <c r="N153" s="12">
        <f ca="1"/>
        <v>7.5490689481627626E-4</v>
      </c>
      <c r="O153" s="12">
        <f ca="1"/>
        <v>-5.7339449541284893E-3</v>
      </c>
      <c r="P153" s="12">
        <f ca="1"/>
        <v>7.9912516823688051E-3</v>
      </c>
      <c r="Q153" s="12">
        <f ca="1"/>
        <v>-1.183190534475731E-2</v>
      </c>
      <c r="R153" s="12">
        <f ca="1"/>
        <v>-1.887160799114973E-2</v>
      </c>
      <c r="S153" s="12">
        <f ca="1"/>
        <v>2.8180333393824641E-2</v>
      </c>
      <c r="T153" s="12">
        <f ca="1"/>
        <v>3.4952606635070937E-2</v>
      </c>
      <c r="U153" s="12">
        <f ca="1"/>
        <v>2.963359297025292E-3</v>
      </c>
      <c r="V153" s="12">
        <f ca="1"/>
        <v>-3.2922814290939906E-3</v>
      </c>
      <c r="W153" s="12">
        <f ca="1"/>
        <v>1.4939388765579542E-2</v>
      </c>
      <c r="X153" s="12">
        <f ca="1"/>
        <v>1.0303774491484674E-2</v>
      </c>
      <c r="Y153" s="12">
        <f ca="1"/>
        <v>1.4637002341920446E-2</v>
      </c>
      <c r="Z153" s="12">
        <f ca="1"/>
        <v>0</v>
      </c>
    </row>
    <row r="154" spans="1:26" x14ac:dyDescent="0.2">
      <c r="A154" vm="2437">
        <f ca="1"/>
        <v>46182</v>
      </c>
      <c r="B154" s="13">
        <f ca="1"/>
        <v>-1.5317528980817041E-2</v>
      </c>
      <c r="C154" s="66">
        <f t="shared" ca="1" si="11"/>
        <v>1.118331748948094</v>
      </c>
      <c r="D154" s="66">
        <f t="shared" ca="1" si="12"/>
        <v>1.1817638126699421</v>
      </c>
      <c r="E154" s="13">
        <f t="shared" ca="1" si="10"/>
        <v>-5.3675754022740822E-2</v>
      </c>
      <c r="F154" s="13">
        <f ca="1"/>
        <v>-2.935526636184238E-3</v>
      </c>
      <c r="G154" s="67">
        <f t="shared" ca="1" si="13"/>
        <v>1.072244286358544</v>
      </c>
      <c r="H154" s="13">
        <f ca="1"/>
        <v>-1.150725487731652E-2</v>
      </c>
      <c r="I154" s="67">
        <f t="shared" ca="1" si="14"/>
        <v>1.1133428755682089</v>
      </c>
      <c r="J154" s="12">
        <f ca="1"/>
        <v>3.1010327546585614E-3</v>
      </c>
      <c r="K154" s="12">
        <f ca="1"/>
        <v>-3.8292468496629928E-2</v>
      </c>
      <c r="L154" s="12">
        <f ca="1"/>
        <v>-3.6763482716172691E-2</v>
      </c>
      <c r="M154" s="12">
        <f ca="1"/>
        <v>-2.3926581448705297E-2</v>
      </c>
      <c r="N154" s="12">
        <f ca="1"/>
        <v>2.2630123208448483E-2</v>
      </c>
      <c r="O154" s="12">
        <f ca="1"/>
        <v>-6.9204152249136008E-3</v>
      </c>
      <c r="P154" s="12">
        <f ca="1"/>
        <v>-7.9278978552950186E-3</v>
      </c>
      <c r="Q154" s="12">
        <f ca="1"/>
        <v>-2.0231213872832332E-2</v>
      </c>
      <c r="R154" s="12">
        <f ca="1"/>
        <v>-3.64462426212111E-2</v>
      </c>
      <c r="S154" s="12">
        <f ca="1"/>
        <v>-1.1195158850226927E-2</v>
      </c>
      <c r="T154" s="12">
        <f ca="1"/>
        <v>-1.1677160847166523E-2</v>
      </c>
      <c r="U154" s="12">
        <f ca="1"/>
        <v>-6.319569120287194E-3</v>
      </c>
      <c r="V154" s="12">
        <f ca="1"/>
        <v>-4.2003099257809096E-3</v>
      </c>
      <c r="W154" s="12">
        <f ca="1"/>
        <v>-1.7663386323492292E-2</v>
      </c>
      <c r="X154" s="12">
        <f ca="1"/>
        <v>-1.3105051786091781E-2</v>
      </c>
      <c r="Y154" s="12">
        <f ca="1"/>
        <v>-1.4079630698211165E-2</v>
      </c>
      <c r="Z154" s="12">
        <f ca="1"/>
        <v>0</v>
      </c>
    </row>
    <row r="155" spans="1:26" x14ac:dyDescent="0.2">
      <c r="A155" vm="2448">
        <f ca="1"/>
        <v>46183</v>
      </c>
      <c r="B155" s="13">
        <f ca="1"/>
        <v>-1.0424117360360504E-2</v>
      </c>
      <c r="C155" s="66">
        <f t="shared" ca="1" si="11"/>
        <v>1.1066741275492418</v>
      </c>
      <c r="D155" s="66">
        <f t="shared" ca="1" si="12"/>
        <v>1.1817638126699421</v>
      </c>
      <c r="E155" s="13">
        <f t="shared" ca="1" si="10"/>
        <v>-6.354034902376246E-2</v>
      </c>
      <c r="F155" s="13">
        <f ca="1"/>
        <v>-1.5765551862153226E-2</v>
      </c>
      <c r="G155" s="67">
        <f t="shared" ca="1" si="13"/>
        <v>1.0553397634530608</v>
      </c>
      <c r="H155" s="13">
        <f ca="1"/>
        <v>-1.9976548041196307E-2</v>
      </c>
      <c r="I155" s="67">
        <f t="shared" ca="1" si="14"/>
        <v>1.0911021281280968</v>
      </c>
      <c r="J155" s="12">
        <f ca="1"/>
        <v>-2.4759170829998123E-2</v>
      </c>
      <c r="K155" s="12">
        <f ca="1"/>
        <v>-2.8847130523108166E-2</v>
      </c>
      <c r="L155" s="12">
        <f ca="1"/>
        <v>-2.949709864603467E-2</v>
      </c>
      <c r="M155" s="12">
        <f ca="1"/>
        <v>-3.5594358629953082E-2</v>
      </c>
      <c r="N155" s="12">
        <f ca="1"/>
        <v>2.766166707646911E-2</v>
      </c>
      <c r="O155" s="12">
        <f ca="1"/>
        <v>-2.6713124274099775E-2</v>
      </c>
      <c r="P155" s="12">
        <f ca="1"/>
        <v>1.4384253028263849E-2</v>
      </c>
      <c r="Q155" s="12">
        <f ca="1"/>
        <v>-1.4997149302198753E-2</v>
      </c>
      <c r="R155" s="12">
        <f ca="1"/>
        <v>3.5450008604369643E-3</v>
      </c>
      <c r="S155" s="12">
        <f ca="1"/>
        <v>-5.115259077927381E-2</v>
      </c>
      <c r="T155" s="12">
        <f ca="1"/>
        <v>-1.0540947526931466E-2</v>
      </c>
      <c r="U155" s="12">
        <f ca="1"/>
        <v>1.5259294438307203E-2</v>
      </c>
      <c r="V155" s="12">
        <f ca="1"/>
        <v>-2.5349113395306877E-2</v>
      </c>
      <c r="W155" s="12">
        <f ca="1"/>
        <v>2.6800239746553656E-2</v>
      </c>
      <c r="X155" s="12">
        <f ca="1"/>
        <v>1.627757549796538E-2</v>
      </c>
      <c r="Y155" s="12">
        <f ca="1"/>
        <v>7.2574037223456234E-3</v>
      </c>
      <c r="Z155" s="12">
        <f ca="1"/>
        <v>0</v>
      </c>
    </row>
    <row r="156" spans="1:26" x14ac:dyDescent="0.2">
      <c r="A156" vm="2465">
        <f ca="1"/>
        <v>46184</v>
      </c>
      <c r="B156" s="13">
        <f ca="1"/>
        <v>1.0578101314500866E-2</v>
      </c>
      <c r="C156" s="66">
        <f t="shared" ca="1" si="11"/>
        <v>1.1183806385925943</v>
      </c>
      <c r="D156" s="66">
        <f t="shared" ca="1" si="12"/>
        <v>1.1817638126699421</v>
      </c>
      <c r="E156" s="13">
        <f t="shared" ca="1" si="10"/>
        <v>-5.3634383958793878E-2</v>
      </c>
      <c r="F156" s="13">
        <f ca="1"/>
        <v>1.6996815681733723E-2</v>
      </c>
      <c r="G156" s="67">
        <f t="shared" ca="1" si="13"/>
        <v>1.0732771788940769</v>
      </c>
      <c r="H156" s="13">
        <f ca="1"/>
        <v>3.3775894131384154E-2</v>
      </c>
      <c r="I156" s="67">
        <f t="shared" ca="1" si="14"/>
        <v>1.1279550780942793</v>
      </c>
      <c r="J156" s="12">
        <f ca="1"/>
        <v>9.1701573644289436E-3</v>
      </c>
      <c r="K156" s="12">
        <f ca="1"/>
        <v>1.3596904089530071E-3</v>
      </c>
      <c r="L156" s="12">
        <f ca="1"/>
        <v>6.0146629653355932E-2</v>
      </c>
      <c r="M156" s="12">
        <f ca="1"/>
        <v>5.2924791086351064E-2</v>
      </c>
      <c r="N156" s="12">
        <f ca="1"/>
        <v>-1.2680942696494779E-2</v>
      </c>
      <c r="O156" s="12">
        <f ca="1"/>
        <v>2.1479713603818507E-2</v>
      </c>
      <c r="P156" s="12">
        <f ca="1"/>
        <v>-7.4633054150430311E-4</v>
      </c>
      <c r="Q156" s="12">
        <f ca="1"/>
        <v>-1.7666599557076834E-2</v>
      </c>
      <c r="R156" s="12">
        <f ca="1"/>
        <v>1.3889841552918725E-2</v>
      </c>
      <c r="S156" s="12">
        <f ca="1"/>
        <v>3.6199946251007642E-2</v>
      </c>
      <c r="T156" s="12">
        <f ca="1"/>
        <v>3.9920393350503458E-2</v>
      </c>
      <c r="U156" s="12">
        <f ca="1"/>
        <v>-7.8098782757252128E-3</v>
      </c>
      <c r="V156" s="12">
        <f ca="1"/>
        <v>1.4747899159663902E-2</v>
      </c>
      <c r="W156" s="12">
        <f ca="1"/>
        <v>-3.8025350233488964E-2</v>
      </c>
      <c r="X156" s="12">
        <f ca="1"/>
        <v>-2.0969441517386778E-2</v>
      </c>
      <c r="Y156" s="12">
        <f ca="1"/>
        <v>-2.3242300987798004E-3</v>
      </c>
      <c r="Z156" s="12">
        <f ca="1"/>
        <v>0</v>
      </c>
    </row>
    <row r="157" spans="1:26" x14ac:dyDescent="0.2">
      <c r="A157" vm="2479">
        <f ca="1"/>
        <v>46185</v>
      </c>
      <c r="B157" s="13">
        <f ca="1"/>
        <v>3.4910600354329554E-3</v>
      </c>
      <c r="C157" s="66">
        <f t="shared" ca="1" si="11"/>
        <v>1.1222849725443869</v>
      </c>
      <c r="D157" s="66">
        <f t="shared" ca="1" si="12"/>
        <v>1.1817638126699421</v>
      </c>
      <c r="E157" s="13">
        <f t="shared" ca="1" si="10"/>
        <v>-5.0330564777724553E-2</v>
      </c>
      <c r="F157" s="13">
        <f ca="1"/>
        <v>5.4082628497071905E-3</v>
      </c>
      <c r="G157" s="67">
        <f t="shared" ca="1" si="13"/>
        <v>1.0790817439881284</v>
      </c>
      <c r="H157" s="13">
        <f ca="1"/>
        <v>5.8846497099509509E-3</v>
      </c>
      <c r="I157" s="67">
        <f t="shared" ca="1" si="14"/>
        <v>1.1345926986174244</v>
      </c>
      <c r="J157" s="12">
        <f ca="1"/>
        <v>4.4873233116446976E-3</v>
      </c>
      <c r="K157" s="12">
        <f ca="1"/>
        <v>5.0240233966994063E-2</v>
      </c>
      <c r="L157" s="12">
        <f ca="1"/>
        <v>1.6751712098831861E-2</v>
      </c>
      <c r="M157" s="12">
        <f ca="1"/>
        <v>2.1494708994709066E-2</v>
      </c>
      <c r="N157" s="12">
        <f ca="1"/>
        <v>1.0905125408942062E-3</v>
      </c>
      <c r="O157" s="12">
        <f ca="1"/>
        <v>0</v>
      </c>
      <c r="P157" s="12">
        <f ca="1"/>
        <v>4.4813278008299928E-3</v>
      </c>
      <c r="Q157" s="12">
        <f ca="1"/>
        <v>1.0247476558897795E-3</v>
      </c>
      <c r="R157" s="12">
        <f ca="1"/>
        <v>-1.5221729865034006E-2</v>
      </c>
      <c r="S157" s="12">
        <f ca="1"/>
        <v>-9.0774697201545518E-3</v>
      </c>
      <c r="T157" s="12">
        <f ca="1"/>
        <v>2.228976697061813E-2</v>
      </c>
      <c r="U157" s="12">
        <f ca="1"/>
        <v>6.8259385665527805E-3</v>
      </c>
      <c r="V157" s="12">
        <f ca="1"/>
        <v>-1.2256221274481338E-2</v>
      </c>
      <c r="W157" s="12">
        <f ca="1"/>
        <v>1.4042995839112393E-2</v>
      </c>
      <c r="X157" s="12">
        <f ca="1"/>
        <v>7.5341728554514376E-3</v>
      </c>
      <c r="Y157" s="12">
        <f ca="1"/>
        <v>-2.2131624927198557E-3</v>
      </c>
      <c r="Z157" s="12">
        <f ca="1"/>
        <v>0</v>
      </c>
    </row>
    <row r="158" spans="1:26" x14ac:dyDescent="0.2">
      <c r="A158" vm="2495">
        <f ca="1"/>
        <v>46188</v>
      </c>
      <c r="B158" s="13">
        <f ca="1"/>
        <v>1.287471807384007E-2</v>
      </c>
      <c r="C158" s="66">
        <f t="shared" ca="1" si="11"/>
        <v>1.1367340751644031</v>
      </c>
      <c r="D158" s="66">
        <f t="shared" ca="1" si="12"/>
        <v>1.1817638126699421</v>
      </c>
      <c r="E158" s="13">
        <f t="shared" ca="1" si="10"/>
        <v>-3.8103838535894941E-2</v>
      </c>
      <c r="F158" s="13">
        <f ca="1"/>
        <v>1.7633973710819095E-2</v>
      </c>
      <c r="G158" s="67">
        <f t="shared" ca="1" si="13"/>
        <v>1.09811024309344</v>
      </c>
      <c r="H158" s="13">
        <f ca="1"/>
        <v>3.1413757728671499E-2</v>
      </c>
      <c r="I158" s="67">
        <f t="shared" ca="1" si="14"/>
        <v>1.1702345187725118</v>
      </c>
      <c r="J158" s="12">
        <f ca="1"/>
        <v>2.4988831807013501E-2</v>
      </c>
      <c r="K158" s="12">
        <f ca="1"/>
        <v>6.1263053207359475E-2</v>
      </c>
      <c r="L158" s="12">
        <f ca="1"/>
        <v>2.991382441311452E-2</v>
      </c>
      <c r="M158" s="12">
        <f ca="1"/>
        <v>2.6977446854430376E-3</v>
      </c>
      <c r="N158" s="12">
        <f ca="1"/>
        <v>-2.0697167755991397E-2</v>
      </c>
      <c r="O158" s="12">
        <f ca="1"/>
        <v>0</v>
      </c>
      <c r="P158" s="12">
        <f ca="1"/>
        <v>-1.8175809649703112E-3</v>
      </c>
      <c r="Q158" s="12">
        <f ca="1"/>
        <v>2.3084403951476595E-2</v>
      </c>
      <c r="R158" s="12">
        <f ca="1"/>
        <v>1.8170576718304687E-2</v>
      </c>
      <c r="S158" s="12">
        <f ca="1"/>
        <v>3.1067605412620658E-2</v>
      </c>
      <c r="T158" s="12">
        <f ca="1"/>
        <v>2.1473406012553653E-2</v>
      </c>
      <c r="U158" s="12">
        <f ca="1"/>
        <v>-2.9521046470198931E-3</v>
      </c>
      <c r="V158" s="12">
        <f ca="1"/>
        <v>3.1314189897296174E-2</v>
      </c>
      <c r="W158" s="12">
        <f ca="1"/>
        <v>-4.0348777568815164E-2</v>
      </c>
      <c r="X158" s="12">
        <f ca="1"/>
        <v>-3.6427732079905906E-2</v>
      </c>
      <c r="Y158" s="12">
        <f ca="1"/>
        <v>-3.5605883726359977E-2</v>
      </c>
      <c r="Z158" s="12">
        <f ca="1"/>
        <v>0.19602360981671341</v>
      </c>
    </row>
    <row r="159" spans="1:26" x14ac:dyDescent="0.2">
      <c r="A159" vm="2512">
        <f ca="1"/>
        <v>46189</v>
      </c>
      <c r="B159" s="13">
        <f ca="1"/>
        <v>-1.5122545659545313E-4</v>
      </c>
      <c r="C159" s="66">
        <f t="shared" ca="1" si="11"/>
        <v>1.1365621720348589</v>
      </c>
      <c r="D159" s="66">
        <f t="shared" ca="1" si="12"/>
        <v>1.1817638126699421</v>
      </c>
      <c r="E159" s="13">
        <f t="shared" ca="1" si="10"/>
        <v>-3.8249301722109622E-2</v>
      </c>
      <c r="F159" s="13">
        <f ca="1"/>
        <v>-5.9616072493143824E-3</v>
      </c>
      <c r="G159" s="67">
        <f t="shared" ca="1" si="13"/>
        <v>1.0915637411076677</v>
      </c>
      <c r="H159" s="13">
        <f ca="1"/>
        <v>-1.9005376344086056E-2</v>
      </c>
      <c r="I159" s="67">
        <f t="shared" ca="1" si="14"/>
        <v>1.1479937713323998</v>
      </c>
      <c r="J159" s="12">
        <f ca="1"/>
        <v>1.0868676963307955E-2</v>
      </c>
      <c r="K159" s="12">
        <f ca="1"/>
        <v>9.6710711273545247E-2</v>
      </c>
      <c r="L159" s="12">
        <f ca="1"/>
        <v>-3.9528099253037463E-2</v>
      </c>
      <c r="M159" s="12">
        <f ca="1"/>
        <v>1.6465777012483862E-2</v>
      </c>
      <c r="N159" s="12">
        <f ca="1"/>
        <v>-7.7864293659620776E-3</v>
      </c>
      <c r="O159" s="12">
        <f ca="1"/>
        <v>0</v>
      </c>
      <c r="P159" s="12">
        <f ca="1"/>
        <v>1.7381228273465332E-3</v>
      </c>
      <c r="Q159" s="12">
        <f ca="1"/>
        <v>-1.4833900340204154E-2</v>
      </c>
      <c r="R159" s="12">
        <f ca="1"/>
        <v>9.5135281020173323E-3</v>
      </c>
      <c r="S159" s="12">
        <f ca="1"/>
        <v>-4.373762501903844E-2</v>
      </c>
      <c r="T159" s="12">
        <f ca="1"/>
        <v>3.6653730056057654E-3</v>
      </c>
      <c r="U159" s="12">
        <f ca="1"/>
        <v>7.3816938077491123E-3</v>
      </c>
      <c r="V159" s="12">
        <f ca="1"/>
        <v>-8.1294203723270009E-5</v>
      </c>
      <c r="W159" s="12">
        <f ca="1"/>
        <v>-8.1952610012471228E-3</v>
      </c>
      <c r="X159" s="12">
        <f ca="1"/>
        <v>-1.6075388026607351E-3</v>
      </c>
      <c r="Y159" s="12">
        <f ca="1"/>
        <v>-4.3578259290643073E-3</v>
      </c>
      <c r="Z159" s="12">
        <f ca="1"/>
        <v>4.8311688311688306E-2</v>
      </c>
    </row>
    <row r="160" spans="1:26" x14ac:dyDescent="0.2">
      <c r="A160" vm="2528">
        <f ca="1"/>
        <v>46190</v>
      </c>
      <c r="B160" s="13">
        <f ca="1"/>
        <v>-8.5100832306850057E-3</v>
      </c>
      <c r="C160" s="66">
        <f t="shared" ca="1" si="11"/>
        <v>1.1268899333539941</v>
      </c>
      <c r="D160" s="66">
        <f t="shared" ca="1" si="12"/>
        <v>1.1817638126699421</v>
      </c>
      <c r="E160" s="13">
        <f t="shared" ca="1" si="10"/>
        <v>-4.6433880211623868E-2</v>
      </c>
      <c r="F160" s="13">
        <f ca="1"/>
        <v>-1.2487838684312247E-2</v>
      </c>
      <c r="G160" s="67">
        <f t="shared" ca="1" si="13"/>
        <v>1.0779324691950709</v>
      </c>
      <c r="H160" s="13">
        <f ca="1"/>
        <v>-1.0070424464965866E-2</v>
      </c>
      <c r="I160" s="67">
        <f t="shared" ca="1" si="14"/>
        <v>1.1364329867719456</v>
      </c>
      <c r="J160" s="12">
        <f ca="1"/>
        <v>-2.4252223120452721E-2</v>
      </c>
      <c r="K160" s="12">
        <f ca="1"/>
        <v>-1.5551567974023794E-2</v>
      </c>
      <c r="L160" s="12">
        <f ca="1"/>
        <v>6.0013351134846404E-2</v>
      </c>
      <c r="M160" s="12">
        <f ca="1"/>
        <v>8.2583377448386397E-3</v>
      </c>
      <c r="N160" s="12">
        <f ca="1"/>
        <v>-4.359740906826004E-3</v>
      </c>
      <c r="O160" s="12">
        <f ca="1"/>
        <v>-1.148105625717577E-2</v>
      </c>
      <c r="P160" s="12">
        <f ca="1"/>
        <v>-2.3961001404610438E-2</v>
      </c>
      <c r="Q160" s="12">
        <f ca="1"/>
        <v>-3.7884366350963483E-2</v>
      </c>
      <c r="R160" s="12">
        <f ca="1"/>
        <v>-1.0994519449271545E-2</v>
      </c>
      <c r="S160" s="12">
        <f ca="1"/>
        <v>4.297735658729529E-2</v>
      </c>
      <c r="T160" s="12">
        <f ca="1"/>
        <v>2.1374865735768189E-2</v>
      </c>
      <c r="U160" s="12">
        <f ca="1"/>
        <v>-2.1374711152551962E-2</v>
      </c>
      <c r="V160" s="12">
        <f ca="1"/>
        <v>-3.4552845528455278E-2</v>
      </c>
      <c r="W160" s="12">
        <f ca="1"/>
        <v>-1.1675947548052124E-3</v>
      </c>
      <c r="X160" s="12">
        <f ca="1"/>
        <v>-1.404697129531951E-2</v>
      </c>
      <c r="Y160" s="12">
        <f ca="1"/>
        <v>-2.2735562310030488E-2</v>
      </c>
      <c r="Z160" s="12">
        <f ca="1"/>
        <v>-4.9454905847373776E-2</v>
      </c>
    </row>
    <row r="161" spans="1:26" x14ac:dyDescent="0.2">
      <c r="A161" vm="2543">
        <f ca="1"/>
        <v>46191</v>
      </c>
      <c r="B161" s="13">
        <f ca="1"/>
        <v>5.9959666708288041E-3</v>
      </c>
      <c r="C161" s="66">
        <f t="shared" ca="1" si="11"/>
        <v>1.1336467278360773</v>
      </c>
      <c r="D161" s="66">
        <f t="shared" ca="1" si="12"/>
        <v>1.1817638126699421</v>
      </c>
      <c r="E161" s="13">
        <f t="shared" ca="1" si="10"/>
        <v>-4.0716329538941068E-2</v>
      </c>
      <c r="F161" s="13">
        <f ca="1"/>
        <v>7.8006909954653203E-3</v>
      </c>
      <c r="G161" s="67">
        <f t="shared" ca="1" si="13"/>
        <v>1.0863410873012407</v>
      </c>
      <c r="H161" s="13">
        <f ca="1"/>
        <v>2.5065397018726454E-2</v>
      </c>
      <c r="I161" s="67">
        <f t="shared" ca="1" si="14"/>
        <v>1.1649181307705616</v>
      </c>
      <c r="J161" s="12">
        <f ca="1"/>
        <v>1.480254073460352E-2</v>
      </c>
      <c r="K161" s="12">
        <f ca="1"/>
        <v>2.3782657755403225E-2</v>
      </c>
      <c r="L161" s="12">
        <f ca="1"/>
        <v>4.8712135524907163E-2</v>
      </c>
      <c r="M161" s="12">
        <f ca="1"/>
        <v>-2.7302320697260019E-3</v>
      </c>
      <c r="N161" s="12">
        <f ca="1"/>
        <v>-6.7559114224947647E-3</v>
      </c>
      <c r="O161" s="12">
        <f ca="1"/>
        <v>2.4390243902439046E-2</v>
      </c>
      <c r="P161" s="12">
        <f ca="1"/>
        <v>-8.0419876407347157E-3</v>
      </c>
      <c r="Q161" s="12">
        <f ca="1"/>
        <v>1.2931830777755948E-3</v>
      </c>
      <c r="R161" s="12">
        <f ca="1"/>
        <v>6.9606352424396167E-3</v>
      </c>
      <c r="S161" s="12">
        <f ca="1"/>
        <v>4.6958513616696562E-2</v>
      </c>
      <c r="T161" s="12">
        <f ca="1"/>
        <v>9.5698811652118465E-3</v>
      </c>
      <c r="U161" s="12">
        <f ca="1"/>
        <v>-1.4643896477801177E-2</v>
      </c>
      <c r="V161" s="12">
        <f ca="1"/>
        <v>2.9010526315789376E-2</v>
      </c>
      <c r="W161" s="12">
        <f ca="1"/>
        <v>-3.1202230015286436E-2</v>
      </c>
      <c r="X161" s="12">
        <f ca="1"/>
        <v>-2.2243495889176845E-2</v>
      </c>
      <c r="Y161" s="12">
        <f ca="1"/>
        <v>-1.9532221945757544E-2</v>
      </c>
      <c r="Z161" s="12">
        <f ca="1"/>
        <v>-3.5554165363361423E-2</v>
      </c>
    </row>
    <row r="162" spans="1:26" x14ac:dyDescent="0.2">
      <c r="A162" vm="2561">
        <f ca="1"/>
        <v>46195</v>
      </c>
      <c r="B162" s="13">
        <f ca="1"/>
        <v>-1.0982851519255956E-2</v>
      </c>
      <c r="C162" s="66">
        <f t="shared" ca="1" si="11"/>
        <v>1.1211960541489634</v>
      </c>
      <c r="D162" s="66">
        <f t="shared" ca="1" si="12"/>
        <v>1.1817638126699421</v>
      </c>
      <c r="E162" s="13">
        <f t="shared" ca="1" si="10"/>
        <v>-5.125199965646169E-2</v>
      </c>
      <c r="F162" s="13">
        <f ca="1"/>
        <v>-3.1470123470016542E-3</v>
      </c>
      <c r="G162" s="67">
        <f t="shared" ca="1" si="13"/>
        <v>1.0829223584864485</v>
      </c>
      <c r="H162" s="13">
        <f ca="1"/>
        <v>-3.6050876292834655E-3</v>
      </c>
      <c r="I162" s="67">
        <f t="shared" ca="1" si="14"/>
        <v>1.1607184988281927</v>
      </c>
      <c r="J162" s="12">
        <f ca="1"/>
        <v>-5.0835465084635101E-2</v>
      </c>
      <c r="K162" s="12">
        <f ca="1"/>
        <v>-5.6464603645612566E-2</v>
      </c>
      <c r="L162" s="12">
        <f ca="1"/>
        <v>7.4793574538357444E-2</v>
      </c>
      <c r="M162" s="12">
        <f ca="1"/>
        <v>1.6215647046435855E-2</v>
      </c>
      <c r="N162" s="12">
        <f ca="1"/>
        <v>1.7634462778688409E-3</v>
      </c>
      <c r="O162" s="12">
        <f ca="1"/>
        <v>-5.6689342403628551E-3</v>
      </c>
      <c r="P162" s="12">
        <f ca="1"/>
        <v>0</v>
      </c>
      <c r="Q162" s="12">
        <f ca="1"/>
        <v>-3.1787032156035844E-2</v>
      </c>
      <c r="R162" s="12">
        <f ca="1"/>
        <v>-3.3555920942249795E-3</v>
      </c>
      <c r="S162" s="12">
        <f ca="1"/>
        <v>-4.6724200802236604E-2</v>
      </c>
      <c r="T162" s="12">
        <f ca="1"/>
        <v>8.5416666666666696E-3</v>
      </c>
      <c r="U162" s="12">
        <f ca="1"/>
        <v>-1.0510273792629921E-4</v>
      </c>
      <c r="V162" s="12">
        <f ca="1"/>
        <v>-4.746511723065594E-2</v>
      </c>
      <c r="W162" s="12">
        <f ca="1"/>
        <v>1.819194356784859E-2</v>
      </c>
      <c r="X162" s="12">
        <f ca="1"/>
        <v>8.2359039336521445E-3</v>
      </c>
      <c r="Y162" s="12">
        <f ca="1"/>
        <v>1.0785433320644522E-2</v>
      </c>
      <c r="Z162" s="12">
        <f ca="1"/>
        <v>-0.16432432432432431</v>
      </c>
    </row>
    <row r="163" spans="1:26" x14ac:dyDescent="0.2">
      <c r="A163" vm="2578">
        <f ca="1"/>
        <v>46196</v>
      </c>
      <c r="B163" s="13">
        <f ca="1"/>
        <v>-1.0521629369010268E-2</v>
      </c>
      <c r="C163" s="66">
        <f t="shared" ca="1" si="11"/>
        <v>1.1093992448172112</v>
      </c>
      <c r="D163" s="66">
        <f t="shared" ca="1" si="12"/>
        <v>1.1817638126699421</v>
      </c>
      <c r="E163" s="13">
        <f t="shared" ca="1" si="10"/>
        <v>-6.1234374480666064E-2</v>
      </c>
      <c r="F163" s="13">
        <f ca="1"/>
        <v>-1.4521957576001721E-2</v>
      </c>
      <c r="G163" s="67">
        <f t="shared" ca="1" si="13"/>
        <v>1.0671962059384046</v>
      </c>
      <c r="H163" s="13">
        <f ca="1"/>
        <v>-3.2929060234433316E-2</v>
      </c>
      <c r="I163" s="67">
        <f t="shared" ca="1" si="14"/>
        <v>1.1224971294650581</v>
      </c>
      <c r="J163" s="12">
        <f ca="1"/>
        <v>-7.741269568209197E-3</v>
      </c>
      <c r="K163" s="12">
        <f ca="1"/>
        <v>-5.0049420433102787E-2</v>
      </c>
      <c r="L163" s="12">
        <f ca="1"/>
        <v>-0.11073863001452677</v>
      </c>
      <c r="M163" s="12">
        <f ca="1"/>
        <v>-9.5326909128587989E-3</v>
      </c>
      <c r="N163" s="12">
        <f ca="1"/>
        <v>9.8076197661260966E-3</v>
      </c>
      <c r="O163" s="12">
        <f ca="1"/>
        <v>-4.4469783352337422E-2</v>
      </c>
      <c r="P163" s="12">
        <f ca="1"/>
        <v>1.9115890083631903E-2</v>
      </c>
      <c r="Q163" s="12">
        <f ca="1"/>
        <v>1.7967006043447586E-2</v>
      </c>
      <c r="R163" s="12">
        <f ca="1"/>
        <v>-9.1242719100366187E-3</v>
      </c>
      <c r="S163" s="12">
        <f ca="1"/>
        <v>-3.0551092749853459E-2</v>
      </c>
      <c r="T163" s="12">
        <f ca="1"/>
        <v>-2.1896302416855917E-2</v>
      </c>
      <c r="U163" s="12">
        <f ca="1"/>
        <v>6.653702633100167E-3</v>
      </c>
      <c r="V163" s="12">
        <f ca="1"/>
        <v>5.6703466643757139E-3</v>
      </c>
      <c r="W163" s="12">
        <f ca="1"/>
        <v>2.4612579762990361E-3</v>
      </c>
      <c r="X163" s="12">
        <f ca="1"/>
        <v>5.2553410259339461E-3</v>
      </c>
      <c r="Y163" s="12">
        <f ca="1"/>
        <v>-1.8830027617372513E-3</v>
      </c>
      <c r="Z163" s="12">
        <f ca="1"/>
        <v>9.7671410090558464E-3</v>
      </c>
    </row>
    <row r="164" spans="1:26" x14ac:dyDescent="0.2">
      <c r="A164" vm="2594">
        <f ca="1"/>
        <v>46197</v>
      </c>
      <c r="B164" s="13">
        <f ca="1"/>
        <v>-1.0915004346738227E-2</v>
      </c>
      <c r="C164" s="66">
        <f t="shared" ca="1" si="11"/>
        <v>1.0972901472377632</v>
      </c>
      <c r="D164" s="66">
        <f t="shared" ca="1" si="12"/>
        <v>1.1817638126699421</v>
      </c>
      <c r="E164" s="13">
        <f t="shared" ca="1" si="10"/>
        <v>-7.148100536377805E-2</v>
      </c>
      <c r="F164" s="13">
        <f ca="1"/>
        <v>-4.6348046566158096E-4</v>
      </c>
      <c r="G164" s="67">
        <f t="shared" ca="1" si="13"/>
        <v>1.066701581343924</v>
      </c>
      <c r="H164" s="13">
        <f ca="1"/>
        <v>-4.2457787430812965E-3</v>
      </c>
      <c r="I164" s="67">
        <f t="shared" ca="1" si="14"/>
        <v>1.1177312550136056</v>
      </c>
      <c r="J164" s="12">
        <f ca="1"/>
        <v>-3.0050855293572987E-3</v>
      </c>
      <c r="K164" s="12">
        <f ca="1"/>
        <v>-4.5781309118426039E-2</v>
      </c>
      <c r="L164" s="12">
        <f ca="1"/>
        <v>-5.93742146267906E-3</v>
      </c>
      <c r="M164" s="12">
        <f ca="1"/>
        <v>-1.8202740872476308E-2</v>
      </c>
      <c r="N164" s="12">
        <f ca="1"/>
        <v>3.6110073465320802E-3</v>
      </c>
      <c r="O164" s="12">
        <f ca="1"/>
        <v>-1.0739856801909475E-2</v>
      </c>
      <c r="P164" s="12">
        <f ca="1"/>
        <v>-3.5169988276670949E-3</v>
      </c>
      <c r="Q164" s="12">
        <f ca="1"/>
        <v>-2.2677434882601544E-2</v>
      </c>
      <c r="R164" s="12">
        <f ca="1"/>
        <v>-4.1454298335033002E-3</v>
      </c>
      <c r="S164" s="12">
        <f ca="1"/>
        <v>5.0506379060897277E-3</v>
      </c>
      <c r="T164" s="12">
        <f ca="1"/>
        <v>-2.0168954593453026E-2</v>
      </c>
      <c r="U164" s="12">
        <f ca="1"/>
        <v>3.5606883301313452E-3</v>
      </c>
      <c r="V164" s="12">
        <f ca="1"/>
        <v>6.8343940882487075E-4</v>
      </c>
      <c r="W164" s="12">
        <f ca="1"/>
        <v>-2.7734836773665505E-2</v>
      </c>
      <c r="X164" s="12">
        <f ca="1"/>
        <v>-2.5741561541084201E-2</v>
      </c>
      <c r="Y164" s="12">
        <f ca="1"/>
        <v>-2.2764432146899827E-2</v>
      </c>
      <c r="Z164" s="12">
        <f ca="1"/>
        <v>-1.0057011081929579E-2</v>
      </c>
    </row>
    <row r="165" spans="1:26" x14ac:dyDescent="0.2">
      <c r="A165" vm="2610">
        <f ca="1"/>
        <v>46198</v>
      </c>
      <c r="B165" s="13">
        <f ca="1"/>
        <v>-1.6563552472765752E-2</v>
      </c>
      <c r="C165" s="66">
        <f t="shared" ca="1" si="11"/>
        <v>1.0791151243061416</v>
      </c>
      <c r="D165" s="66">
        <f t="shared" ca="1" si="12"/>
        <v>1.1817638126699421</v>
      </c>
      <c r="E165" s="13">
        <f t="shared" ca="1" si="10"/>
        <v>-8.6860578453394816E-2</v>
      </c>
      <c r="F165" s="13">
        <f ca="1"/>
        <v>1.445638535813476E-3</v>
      </c>
      <c r="G165" s="67">
        <f t="shared" ca="1" si="13"/>
        <v>1.068243646256128</v>
      </c>
      <c r="H165" s="13">
        <f ca="1"/>
        <v>8.1055979285693525E-3</v>
      </c>
      <c r="I165" s="67">
        <f t="shared" ca="1" si="14"/>
        <v>1.126791135158941</v>
      </c>
      <c r="J165" s="12">
        <f ca="1"/>
        <v>-8.2599118942732197E-3</v>
      </c>
      <c r="K165" s="12">
        <f ca="1"/>
        <v>-2.1015067406819909E-2</v>
      </c>
      <c r="L165" s="12">
        <f ca="1"/>
        <v>2.8884745441329684E-2</v>
      </c>
      <c r="M165" s="12">
        <f ca="1"/>
        <v>1.2892914224826857E-2</v>
      </c>
      <c r="N165" s="12">
        <f ca="1"/>
        <v>-2.2332506203472935E-3</v>
      </c>
      <c r="O165" s="12">
        <f ca="1"/>
        <v>-1.6887816646562026E-2</v>
      </c>
      <c r="P165" s="12">
        <f ca="1"/>
        <v>-2.7058823529411802E-2</v>
      </c>
      <c r="Q165" s="12">
        <f ca="1"/>
        <v>-3.455918568379579E-2</v>
      </c>
      <c r="R165" s="12">
        <f ca="1"/>
        <v>-6.1177835403302905E-2</v>
      </c>
      <c r="S165" s="12">
        <f ca="1"/>
        <v>-8.27073572905479E-3</v>
      </c>
      <c r="T165" s="12">
        <f ca="1"/>
        <v>-6.7895247332687703E-3</v>
      </c>
      <c r="U165" s="12">
        <f ca="1"/>
        <v>-1.9613147572027589E-2</v>
      </c>
      <c r="V165" s="12">
        <f ca="1"/>
        <v>-3.0989883467793633E-2</v>
      </c>
      <c r="W165" s="12">
        <f ca="1"/>
        <v>-4.7699214365881648E-3</v>
      </c>
      <c r="X165" s="12">
        <f ca="1"/>
        <v>4.6077573636629232E-3</v>
      </c>
      <c r="Y165" s="12">
        <f ca="1"/>
        <v>-4.761904761904856E-3</v>
      </c>
      <c r="Z165" s="12">
        <f ca="1"/>
        <v>-9.9650575902678895E-3</v>
      </c>
    </row>
    <row r="166" spans="1:26" x14ac:dyDescent="0.2">
      <c r="A166" vm="2626">
        <f ca="1"/>
        <v>46199</v>
      </c>
      <c r="B166" s="13">
        <f ca="1"/>
        <v>3.3195042634370075E-3</v>
      </c>
      <c r="C166" s="66">
        <f t="shared" ca="1" si="11"/>
        <v>1.0826972515620152</v>
      </c>
      <c r="D166" s="66">
        <f t="shared" ca="1" si="12"/>
        <v>1.1817638126699421</v>
      </c>
      <c r="E166" s="13">
        <f t="shared" ca="1" si="10"/>
        <v>-8.3829408250458454E-2</v>
      </c>
      <c r="F166" s="13">
        <f ca="1"/>
        <v>-7.2313768214625762E-3</v>
      </c>
      <c r="G166" s="67">
        <f t="shared" ca="1" si="13"/>
        <v>1.0605187739129167</v>
      </c>
      <c r="H166" s="13">
        <f ca="1"/>
        <v>-1.3763644992880852E-2</v>
      </c>
      <c r="I166" s="67">
        <f t="shared" ca="1" si="14"/>
        <v>1.1112823819934881</v>
      </c>
      <c r="J166" s="12">
        <f ca="1"/>
        <v>-2.1917648090242214E-2</v>
      </c>
      <c r="K166" s="12">
        <f ca="1"/>
        <v>-2.2073714054273053E-2</v>
      </c>
      <c r="L166" s="12">
        <f ca="1"/>
        <v>-6.6406609945633854E-2</v>
      </c>
      <c r="M166" s="12">
        <f ca="1"/>
        <v>-1.3780770039974799E-2</v>
      </c>
      <c r="N166" s="12">
        <f ca="1"/>
        <v>2.7480726187515403E-2</v>
      </c>
      <c r="O166" s="12">
        <f ca="1"/>
        <v>-8.5889570552147854E-3</v>
      </c>
      <c r="P166" s="12">
        <f ca="1"/>
        <v>-7.773363275177525E-4</v>
      </c>
      <c r="Q166" s="12">
        <f ca="1"/>
        <v>5.7081313947226819E-2</v>
      </c>
      <c r="R166" s="12">
        <f ca="1"/>
        <v>3.136471015809561E-2</v>
      </c>
      <c r="S166" s="12">
        <f ca="1"/>
        <v>-3.6657781531234446E-2</v>
      </c>
      <c r="T166" s="12">
        <f ca="1"/>
        <v>-2.5390625E-2</v>
      </c>
      <c r="U166" s="12">
        <f ca="1"/>
        <v>1.0931397520801411E-2</v>
      </c>
      <c r="V166" s="12">
        <f ca="1"/>
        <v>2.5020924188361882E-2</v>
      </c>
      <c r="W166" s="12">
        <f ca="1"/>
        <v>-4.2289258528334095E-3</v>
      </c>
      <c r="X166" s="12">
        <f ca="1"/>
        <v>-6.8509057129586548E-3</v>
      </c>
      <c r="Y166" s="12">
        <f ca="1"/>
        <v>-1.0345273503168162E-2</v>
      </c>
      <c r="Z166" s="12">
        <f ca="1"/>
        <v>1.5032679738562482E-3</v>
      </c>
    </row>
    <row r="167" spans="1:26" x14ac:dyDescent="0.2">
      <c r="A167" vm="2643">
        <f ca="1"/>
        <v>46202</v>
      </c>
      <c r="B167" s="13">
        <f ca="1"/>
        <v>5.5572504114949732E-3</v>
      </c>
      <c r="C167" s="66">
        <f t="shared" ca="1" si="11"/>
        <v>1.0887140713087826</v>
      </c>
      <c r="D167" s="66">
        <f t="shared" ca="1" si="12"/>
        <v>1.1817638126699421</v>
      </c>
      <c r="E167" s="13">
        <f t="shared" ca="1" si="10"/>
        <v>-7.8738018852458819E-2</v>
      </c>
      <c r="F167" s="13">
        <f ca="1"/>
        <v>1.6474848763357475E-2</v>
      </c>
      <c r="G167" s="67">
        <f t="shared" ca="1" si="13"/>
        <v>1.0779906603238334</v>
      </c>
      <c r="H167" s="13">
        <f ca="1"/>
        <v>2.485421502576024E-2</v>
      </c>
      <c r="I167" s="67">
        <f t="shared" ca="1" si="14"/>
        <v>1.1389024332698932</v>
      </c>
      <c r="J167" s="12">
        <f ca="1"/>
        <v>4.9568257193223442E-2</v>
      </c>
      <c r="K167" s="12">
        <f ca="1"/>
        <v>-1.1078898322633979E-2</v>
      </c>
      <c r="L167" s="12">
        <f ca="1"/>
        <v>9.9358447113013781E-3</v>
      </c>
      <c r="M167" s="12">
        <f ca="1"/>
        <v>1.418666666666657E-2</v>
      </c>
      <c r="N167" s="12">
        <f ca="1"/>
        <v>2.4204284158302336E-4</v>
      </c>
      <c r="O167" s="12">
        <f ca="1"/>
        <v>8.6633663366337821E-3</v>
      </c>
      <c r="P167" s="12">
        <f ca="1"/>
        <v>-9.4217304866454077E-3</v>
      </c>
      <c r="Q167" s="12">
        <f ca="1"/>
        <v>-1.1797195484891665E-2</v>
      </c>
      <c r="R167" s="12">
        <f ca="1"/>
        <v>-7.1886672774683635E-3</v>
      </c>
      <c r="S167" s="12">
        <f ca="1"/>
        <v>2.035504903840879E-2</v>
      </c>
      <c r="T167" s="12">
        <f ca="1"/>
        <v>-1.8036072144288484E-2</v>
      </c>
      <c r="U167" s="12">
        <f ca="1"/>
        <v>-6.1519726205724323E-3</v>
      </c>
      <c r="V167" s="12">
        <f ca="1"/>
        <v>3.2016846448063907E-2</v>
      </c>
      <c r="W167" s="12">
        <f ca="1"/>
        <v>-1.6610041525103703E-2</v>
      </c>
      <c r="X167" s="12">
        <f ca="1"/>
        <v>-1.5140886238746654E-2</v>
      </c>
      <c r="Y167" s="12">
        <f ca="1"/>
        <v>4.7040376323010946E-3</v>
      </c>
      <c r="Z167" s="12">
        <f ca="1"/>
        <v>7.1526463486262459E-2</v>
      </c>
    </row>
    <row r="168" spans="1:26" x14ac:dyDescent="0.2">
      <c r="A168" vm="2658">
        <f ca="1"/>
        <v>46203</v>
      </c>
      <c r="B168" s="13">
        <f ca="1"/>
        <v>1.107509966273648E-2</v>
      </c>
      <c r="C168" s="66">
        <f t="shared" ca="1" si="11"/>
        <v>1.1007716881527509</v>
      </c>
      <c r="D168" s="66">
        <f t="shared" ca="1" si="12"/>
        <v>1.1817638126699421</v>
      </c>
      <c r="E168" s="13">
        <f t="shared" ca="1" si="10"/>
        <v>-6.8534950595759758E-2</v>
      </c>
      <c r="F168" s="13">
        <f ca="1"/>
        <v>7.7867746288797779E-3</v>
      </c>
      <c r="G168" s="67">
        <f t="shared" ca="1" si="13"/>
        <v>1.0863847306478123</v>
      </c>
      <c r="H168" s="13">
        <f ca="1"/>
        <v>1.7014694508894035E-2</v>
      </c>
      <c r="I168" s="67">
        <f t="shared" ca="1" si="14"/>
        <v>1.1582805102474165</v>
      </c>
      <c r="J168" s="12">
        <f ca="1"/>
        <v>5.8358005010248348E-3</v>
      </c>
      <c r="K168" s="12">
        <f ca="1"/>
        <v>4.2194534603706479E-2</v>
      </c>
      <c r="L168" s="12">
        <f ca="1"/>
        <v>9.0725478059745068E-2</v>
      </c>
      <c r="M168" s="12">
        <f ca="1"/>
        <v>1.0517458981906813E-4</v>
      </c>
      <c r="N168" s="12">
        <f ca="1"/>
        <v>-1.6696914700544574E-2</v>
      </c>
      <c r="O168" s="12">
        <f ca="1"/>
        <v>2.208588957055202E-2</v>
      </c>
      <c r="P168" s="12">
        <f ca="1"/>
        <v>-1.1692844677137826E-2</v>
      </c>
      <c r="Q168" s="12">
        <f ca="1"/>
        <v>1.2073690208101562E-2</v>
      </c>
      <c r="R168" s="12">
        <f ca="1"/>
        <v>2.7046212820330817E-2</v>
      </c>
      <c r="S168" s="12">
        <f ca="1"/>
        <v>1.4230097999731628E-2</v>
      </c>
      <c r="T168" s="12">
        <f ca="1"/>
        <v>-1.3151927437641708E-2</v>
      </c>
      <c r="U168" s="12">
        <f ca="1"/>
        <v>-1.1841382515739185E-2</v>
      </c>
      <c r="V168" s="12">
        <f ca="1"/>
        <v>-7.4956275505954073E-3</v>
      </c>
      <c r="W168" s="12">
        <f ca="1"/>
        <v>-2.3032629558542572E-3</v>
      </c>
      <c r="X168" s="12">
        <f ca="1"/>
        <v>-1.6085950020775286E-2</v>
      </c>
      <c r="Y168" s="12">
        <f ca="1"/>
        <v>8.4536350630772805E-3</v>
      </c>
      <c r="Z168" s="12">
        <f ca="1"/>
        <v>4.0623667702052613E-2</v>
      </c>
    </row>
    <row r="169" spans="1:26" x14ac:dyDescent="0.2">
      <c r="A169" vm="2673">
        <f ca="1"/>
        <v>46204</v>
      </c>
      <c r="B169" s="13">
        <f ca="1"/>
        <v>2.2583478065479976E-4</v>
      </c>
      <c r="C169" s="66">
        <f t="shared" ca="1" si="11"/>
        <v>1.1010202806854958</v>
      </c>
      <c r="D169" s="66">
        <f t="shared" ca="1" si="12"/>
        <v>1.1817638126699421</v>
      </c>
      <c r="E169" s="13">
        <f t="shared" ca="1" si="10"/>
        <v>-6.8324593390640023E-2</v>
      </c>
      <c r="F169" s="13">
        <f ca="1"/>
        <v>-1.35249139628002E-3</v>
      </c>
      <c r="G169" s="67">
        <f t="shared" ca="1" si="13"/>
        <v>1.0849154046465612</v>
      </c>
      <c r="H169" s="13">
        <f ca="1"/>
        <v>-1.5249864204236907E-2</v>
      </c>
      <c r="I169" s="67">
        <f t="shared" ca="1" si="14"/>
        <v>1.1406168897557292</v>
      </c>
      <c r="J169" s="12">
        <f ca="1"/>
        <v>1.2905782130020027E-2</v>
      </c>
      <c r="K169" s="12">
        <f ca="1"/>
        <v>-0.13919027526622463</v>
      </c>
      <c r="L169" s="12">
        <f ca="1"/>
        <v>-6.9888298190072251E-2</v>
      </c>
      <c r="M169" s="12">
        <f ca="1"/>
        <v>7.5717741087391044E-3</v>
      </c>
      <c r="N169" s="12">
        <f ca="1"/>
        <v>2.4609326934910136E-4</v>
      </c>
      <c r="O169" s="12">
        <f ca="1"/>
        <v>2.0408163265306145E-2</v>
      </c>
      <c r="P169" s="12">
        <f ca="1"/>
        <v>-3.9201836482429919E-2</v>
      </c>
      <c r="Q169" s="12">
        <f ca="1"/>
        <v>3.0186049005415327E-2</v>
      </c>
      <c r="R169" s="12">
        <f ca="1"/>
        <v>1.7348631462537956E-2</v>
      </c>
      <c r="S169" s="12">
        <f ca="1"/>
        <v>-2.2263401720714837E-2</v>
      </c>
      <c r="T169" s="12">
        <f ca="1"/>
        <v>7.1346507352941124E-2</v>
      </c>
      <c r="U169" s="12">
        <f ca="1"/>
        <v>-1.15449987706715E-2</v>
      </c>
      <c r="V169" s="12">
        <f ca="1"/>
        <v>1.4097507762020678E-2</v>
      </c>
      <c r="W169" s="12">
        <f ca="1"/>
        <v>-7.1181223547517325E-3</v>
      </c>
      <c r="X169" s="12">
        <f ca="1"/>
        <v>-4.2229729729725829E-4</v>
      </c>
      <c r="Y169" s="12">
        <f ca="1"/>
        <v>-1.2509672427134522E-2</v>
      </c>
      <c r="Z169" s="12">
        <f ca="1"/>
        <v>-7.7958562565843548E-2</v>
      </c>
    </row>
    <row r="170" spans="1:26" x14ac:dyDescent="0.2">
      <c r="A170" vm="2691">
        <f ca="1"/>
        <v>46205</v>
      </c>
      <c r="B170" s="13">
        <f ca="1"/>
        <v>1.0024278719502806E-2</v>
      </c>
      <c r="C170" s="66">
        <f t="shared" ca="1" si="11"/>
        <v>1.1120572148549126</v>
      </c>
      <c r="D170" s="66">
        <f t="shared" ca="1" si="12"/>
        <v>1.1817638126699421</v>
      </c>
      <c r="E170" s="13">
        <f t="shared" ca="1" si="10"/>
        <v>-5.8985219438681576E-2</v>
      </c>
      <c r="F170" s="13">
        <f ca="1"/>
        <v>-1.3140956876207532E-3</v>
      </c>
      <c r="G170" s="67">
        <f t="shared" ca="1" si="13"/>
        <v>1.0834897219918818</v>
      </c>
      <c r="H170" s="13">
        <f ca="1"/>
        <v>-1.7333866541638376E-2</v>
      </c>
      <c r="I170" s="67">
        <f t="shared" ca="1" si="14"/>
        <v>1.1208455888135647</v>
      </c>
      <c r="J170" s="12">
        <f ca="1"/>
        <v>-4.7780044147642808E-3</v>
      </c>
      <c r="K170" s="12">
        <f ca="1"/>
        <v>-4.5982377312248301E-2</v>
      </c>
      <c r="L170" s="12">
        <f ca="1"/>
        <v>-3.4968852353734592E-2</v>
      </c>
      <c r="M170" s="12">
        <f ca="1"/>
        <v>1.0124204154054794E-2</v>
      </c>
      <c r="N170" s="12">
        <f ca="1"/>
        <v>3.5059662935170266E-2</v>
      </c>
      <c r="O170" s="12">
        <f ca="1"/>
        <v>-2.4705882352941244E-2</v>
      </c>
      <c r="P170" s="12">
        <f ca="1"/>
        <v>2.7752251424370655E-2</v>
      </c>
      <c r="Q170" s="12">
        <f ca="1"/>
        <v>1.6160091599875193E-2</v>
      </c>
      <c r="R170" s="12">
        <f ca="1"/>
        <v>4.8406821115564824E-2</v>
      </c>
      <c r="S170" s="12">
        <f ca="1"/>
        <v>-2.4069962636053432E-2</v>
      </c>
      <c r="T170" s="12">
        <f ca="1"/>
        <v>-2.0589812332439728E-2</v>
      </c>
      <c r="U170" s="12">
        <f ca="1"/>
        <v>2.9199606346047791E-2</v>
      </c>
      <c r="V170" s="12">
        <f ca="1"/>
        <v>4.0132395531651266E-3</v>
      </c>
      <c r="W170" s="12">
        <f ca="1"/>
        <v>1.4628947878318144E-2</v>
      </c>
      <c r="X170" s="12">
        <f ca="1"/>
        <v>2.1184139054861495E-2</v>
      </c>
      <c r="Y170" s="12">
        <f ca="1"/>
        <v>1.8936920464934115E-2</v>
      </c>
      <c r="Z170" s="12">
        <f ca="1"/>
        <v>2.8310270407515548E-2</v>
      </c>
    </row>
    <row r="171" spans="1:26" x14ac:dyDescent="0.2">
      <c r="A171" vm="2708">
        <f ca="1"/>
        <v>46209</v>
      </c>
      <c r="B171" s="13">
        <f ca="1"/>
        <v>1.0274445718098664E-2</v>
      </c>
      <c r="C171" s="66">
        <f t="shared" ca="1" si="11"/>
        <v>1.1234829863443594</v>
      </c>
      <c r="D171" s="66">
        <f t="shared" ca="1" si="12"/>
        <v>1.1817638126699421</v>
      </c>
      <c r="E171" s="13">
        <f t="shared" ca="1" si="10"/>
        <v>-4.9316814155875778E-2</v>
      </c>
      <c r="F171" s="13">
        <f ca="1"/>
        <v>8.7274094363436472E-3</v>
      </c>
      <c r="G171" s="67">
        <f t="shared" ca="1" si="13"/>
        <v>1.0929457804157752</v>
      </c>
      <c r="H171" s="13">
        <f ca="1"/>
        <v>1.4341846758349819E-2</v>
      </c>
      <c r="I171" s="67">
        <f t="shared" ca="1" si="14"/>
        <v>1.1369205844881012</v>
      </c>
      <c r="J171" s="12">
        <f ca="1"/>
        <v>2.4482003481385739E-2</v>
      </c>
      <c r="K171" s="12">
        <f ca="1"/>
        <v>5.7679368768731809E-2</v>
      </c>
      <c r="L171" s="12">
        <f ca="1"/>
        <v>5.9694539646624412E-2</v>
      </c>
      <c r="M171" s="12">
        <f ca="1"/>
        <v>2.0252118206240954E-2</v>
      </c>
      <c r="N171" s="12">
        <f ca="1"/>
        <v>-1.4024245305443439E-2</v>
      </c>
      <c r="O171" s="12">
        <f ca="1"/>
        <v>-4.8250904704462139E-3</v>
      </c>
      <c r="P171" s="12">
        <f ca="1"/>
        <v>-1.0640200286123003E-2</v>
      </c>
      <c r="Q171" s="12">
        <f ca="1"/>
        <v>-9.6033189070142688E-3</v>
      </c>
      <c r="R171" s="12">
        <f ca="1"/>
        <v>1.3057706639017619E-2</v>
      </c>
      <c r="S171" s="12">
        <f ca="1"/>
        <v>3.7314468026078407E-2</v>
      </c>
      <c r="T171" s="12">
        <f ca="1"/>
        <v>5.1023759991240425E-2</v>
      </c>
      <c r="U171" s="12">
        <f ca="1"/>
        <v>-1.4921138629986341E-3</v>
      </c>
      <c r="V171" s="12">
        <f ca="1"/>
        <v>6.140025549099537E-3</v>
      </c>
      <c r="W171" s="12">
        <f ca="1"/>
        <v>-1.0980616824214695E-2</v>
      </c>
      <c r="X171" s="12">
        <f ca="1"/>
        <v>-6.5011820330969083E-3</v>
      </c>
      <c r="Y171" s="12">
        <f ca="1"/>
        <v>1.5380671622662323E-3</v>
      </c>
      <c r="Z171" s="12">
        <f ca="1"/>
        <v>-9.7530864197531431E-3</v>
      </c>
    </row>
    <row r="172" spans="1:26" x14ac:dyDescent="0.2">
      <c r="A172" vm="2724">
        <f ca="1"/>
        <v>46210</v>
      </c>
      <c r="B172" s="13">
        <f ca="1"/>
        <v>-7.3130880825276654E-4</v>
      </c>
      <c r="C172" s="66">
        <f t="shared" ca="1" si="11"/>
        <v>1.1226613733405235</v>
      </c>
      <c r="D172" s="66">
        <f t="shared" ca="1" si="12"/>
        <v>1.1817638126699421</v>
      </c>
      <c r="E172" s="13">
        <f t="shared" ca="1" si="10"/>
        <v>-5.001205714354149E-2</v>
      </c>
      <c r="F172" s="13">
        <f ca="1"/>
        <v>-4.7518901075497277E-3</v>
      </c>
      <c r="G172" s="67">
        <f t="shared" ca="1" si="13"/>
        <v>1.0877522221737292</v>
      </c>
      <c r="H172" s="13">
        <f ca="1"/>
        <v>-1.8524667275393703E-2</v>
      </c>
      <c r="I172" s="67">
        <f t="shared" ca="1" si="14"/>
        <v>1.115859508941913</v>
      </c>
      <c r="J172" s="12">
        <f ca="1"/>
        <v>-3.5078103590023835E-3</v>
      </c>
      <c r="K172" s="12">
        <f ca="1"/>
        <v>-3.3888503354152166E-2</v>
      </c>
      <c r="L172" s="12">
        <f ca="1"/>
        <v>-4.0474769994034099E-2</v>
      </c>
      <c r="M172" s="12">
        <f ca="1"/>
        <v>-1.3570994531091674E-2</v>
      </c>
      <c r="N172" s="12">
        <f ca="1"/>
        <v>1.313886210221793E-2</v>
      </c>
      <c r="O172" s="12">
        <f ca="1"/>
        <v>-2.4242424242423288E-3</v>
      </c>
      <c r="P172" s="12">
        <f ca="1"/>
        <v>8.0433800271124678E-3</v>
      </c>
      <c r="Q172" s="12">
        <f ca="1"/>
        <v>5.4300046542896663E-3</v>
      </c>
      <c r="R172" s="12">
        <f ca="1"/>
        <v>-6.3967248768630469E-3</v>
      </c>
      <c r="S172" s="12">
        <f ca="1"/>
        <v>-8.3444771329233003E-3</v>
      </c>
      <c r="T172" s="12">
        <f ca="1"/>
        <v>-1.4793207625794391E-2</v>
      </c>
      <c r="U172" s="12">
        <f ca="1"/>
        <v>-2.8939752696658383E-3</v>
      </c>
      <c r="V172" s="12">
        <f ca="1"/>
        <v>7.4541284403668584E-3</v>
      </c>
      <c r="W172" s="12">
        <f ca="1"/>
        <v>4.6920254875458589E-2</v>
      </c>
      <c r="X172" s="12">
        <f ca="1"/>
        <v>3.5157644259369514E-2</v>
      </c>
      <c r="Y172" s="12">
        <f ca="1"/>
        <v>4.9270540056309153E-2</v>
      </c>
      <c r="Z172" s="12">
        <f ca="1"/>
        <v>-6.8258321904999364E-2</v>
      </c>
    </row>
    <row r="173" spans="1:26" x14ac:dyDescent="0.2">
      <c r="A173" vm="2741">
        <f ca="1"/>
        <v>46211</v>
      </c>
      <c r="B173" s="13">
        <f ca="1"/>
        <v>6.8985248259387493E-3</v>
      </c>
      <c r="C173" s="66">
        <f t="shared" ca="1" si="11"/>
        <v>1.1304060806956358</v>
      </c>
      <c r="D173" s="66">
        <f t="shared" ca="1" si="12"/>
        <v>1.1817638126699421</v>
      </c>
      <c r="E173" s="13">
        <f t="shared" ca="1" si="10"/>
        <v>-4.3458541735403609E-2</v>
      </c>
      <c r="F173" s="13">
        <f ca="1"/>
        <v>-3.0894330689706928E-3</v>
      </c>
      <c r="G173" s="67">
        <f t="shared" ca="1" si="13"/>
        <v>1.0843916844876993</v>
      </c>
      <c r="H173" s="13">
        <f ca="1"/>
        <v>2.8332605049126158E-3</v>
      </c>
      <c r="I173" s="67">
        <f t="shared" ca="1" si="14"/>
        <v>1.1190210296176293</v>
      </c>
      <c r="J173" s="12">
        <f ca="1"/>
        <v>-1.3503107639843859E-2</v>
      </c>
      <c r="K173" s="12">
        <f ca="1"/>
        <v>7.7457201005626697E-2</v>
      </c>
      <c r="L173" s="12">
        <f ca="1"/>
        <v>4.0022252765233413E-2</v>
      </c>
      <c r="M173" s="12">
        <f ca="1"/>
        <v>-1.3449691991786472E-2</v>
      </c>
      <c r="N173" s="12">
        <f ca="1"/>
        <v>-7.7334919690659198E-3</v>
      </c>
      <c r="O173" s="12">
        <f ca="1"/>
        <v>3.888213851761857E-2</v>
      </c>
      <c r="P173" s="12">
        <f ca="1"/>
        <v>1.3986013986013957E-2</v>
      </c>
      <c r="Q173" s="12">
        <f ca="1"/>
        <v>-1.4144635325583743E-2</v>
      </c>
      <c r="R173" s="12">
        <f ca="1"/>
        <v>8.7877422262279126E-3</v>
      </c>
      <c r="S173" s="12">
        <f ca="1"/>
        <v>4.8303576244673518E-2</v>
      </c>
      <c r="T173" s="12">
        <f ca="1"/>
        <v>-1.2371788093475611E-2</v>
      </c>
      <c r="U173" s="12">
        <f ca="1"/>
        <v>5.9419525065962375E-3</v>
      </c>
      <c r="V173" s="12">
        <f ca="1"/>
        <v>-9.5942759573948155E-3</v>
      </c>
      <c r="W173" s="12">
        <f ca="1"/>
        <v>2.1025451862781264E-2</v>
      </c>
      <c r="X173" s="12">
        <f ca="1"/>
        <v>1.1263720475834793E-2</v>
      </c>
      <c r="Y173" s="12">
        <f ca="1"/>
        <v>3.0491523356506178E-3</v>
      </c>
      <c r="Z173" s="12">
        <f ca="1"/>
        <v>-7.8276577239578815E-3</v>
      </c>
    </row>
    <row r="174" spans="1:26" x14ac:dyDescent="0.2">
      <c r="A174" vm="2758">
        <f ca="1"/>
        <v>46212</v>
      </c>
      <c r="B174" s="13">
        <f ca="1"/>
        <v>3.1458478197528596E-3</v>
      </c>
      <c r="C174" s="66">
        <f t="shared" ca="1" si="11"/>
        <v>1.1339621662000274</v>
      </c>
      <c r="D174" s="66">
        <f t="shared" ca="1" si="12"/>
        <v>1.1817638126699421</v>
      </c>
      <c r="E174" s="13">
        <f t="shared" ca="1" si="10"/>
        <v>-4.0449407874418759E-2</v>
      </c>
      <c r="F174" s="13">
        <f ca="1"/>
        <v>8.4652535551381636E-3</v>
      </c>
      <c r="G174" s="67">
        <f t="shared" ca="1" si="13"/>
        <v>1.0935713350499709</v>
      </c>
      <c r="H174" s="13">
        <f ca="1"/>
        <v>1.664230293489255E-2</v>
      </c>
      <c r="I174" s="67">
        <f t="shared" ca="1" si="14"/>
        <v>1.1376441165830413</v>
      </c>
      <c r="J174" s="12">
        <f ca="1"/>
        <v>-6.885785174653547E-3</v>
      </c>
      <c r="K174" s="12">
        <f ca="1"/>
        <v>-3.3333333333332993E-3</v>
      </c>
      <c r="L174" s="12">
        <f ca="1"/>
        <v>1.9225323306378161E-2</v>
      </c>
      <c r="M174" s="12">
        <f ca="1"/>
        <v>2.0085336663544506E-2</v>
      </c>
      <c r="N174" s="12">
        <f ca="1"/>
        <v>-9.2326139088729775E-3</v>
      </c>
      <c r="O174" s="12">
        <f ca="1"/>
        <v>0</v>
      </c>
      <c r="P174" s="12">
        <f ca="1"/>
        <v>-7.8691423519009485E-3</v>
      </c>
      <c r="Q174" s="12">
        <f ca="1"/>
        <v>2.6608232900298123E-3</v>
      </c>
      <c r="R174" s="12">
        <f ca="1"/>
        <v>9.0302817575547145E-3</v>
      </c>
      <c r="S174" s="12">
        <f ca="1"/>
        <v>3.1953484782217156E-2</v>
      </c>
      <c r="T174" s="12">
        <f ca="1"/>
        <v>2.012847965738751E-2</v>
      </c>
      <c r="U174" s="12">
        <f ca="1"/>
        <v>-4.2134860931877016E-2</v>
      </c>
      <c r="V174" s="12">
        <f ca="1"/>
        <v>1.4038256300796359E-2</v>
      </c>
      <c r="W174" s="12">
        <f ca="1"/>
        <v>-2.4385838150289052E-2</v>
      </c>
      <c r="X174" s="12">
        <f ca="1"/>
        <v>-1.0910950730238067E-2</v>
      </c>
      <c r="Y174" s="12">
        <f ca="1"/>
        <v>-1.021400778210102E-2</v>
      </c>
      <c r="Z174" s="12">
        <f ca="1"/>
        <v>2.6028320971004604E-2</v>
      </c>
    </row>
    <row r="175" spans="1:26" x14ac:dyDescent="0.2">
      <c r="A175" vm="2773">
        <f ca="1"/>
        <v>46213</v>
      </c>
      <c r="B175" s="13">
        <f ca="1"/>
        <v>3.5585113676061598E-4</v>
      </c>
      <c r="C175" s="66">
        <f t="shared" ca="1" si="11"/>
        <v>1.1343656879259132</v>
      </c>
      <c r="D175" s="66">
        <f t="shared" ca="1" si="12"/>
        <v>1.1817638126699421</v>
      </c>
      <c r="E175" s="13">
        <f t="shared" ca="1" si="10"/>
        <v>-4.0107950705431591E-2</v>
      </c>
      <c r="F175" s="13">
        <f ca="1"/>
        <v>4.3101728060024325E-3</v>
      </c>
      <c r="G175" s="67">
        <f t="shared" ca="1" si="13"/>
        <v>1.0982848164797272</v>
      </c>
      <c r="H175" s="13">
        <f ca="1"/>
        <v>3.0831766397523275E-3</v>
      </c>
      <c r="I175" s="67">
        <f t="shared" ca="1" si="14"/>
        <v>1.1411516743476418</v>
      </c>
      <c r="J175" s="12">
        <f ca="1"/>
        <v>-3.3965865708511789E-3</v>
      </c>
      <c r="K175" s="12">
        <f ca="1"/>
        <v>-9.1415830546266452E-3</v>
      </c>
      <c r="L175" s="12">
        <f ca="1"/>
        <v>-1.5621141022474694E-2</v>
      </c>
      <c r="M175" s="12">
        <f ca="1"/>
        <v>1.0916139563354577E-2</v>
      </c>
      <c r="N175" s="12">
        <f ca="1"/>
        <v>1.040784218806734E-2</v>
      </c>
      <c r="O175" s="12">
        <f ca="1"/>
        <v>0</v>
      </c>
      <c r="P175" s="12">
        <f ca="1"/>
        <v>1.5061046252562216E-2</v>
      </c>
      <c r="Q175" s="12">
        <f ca="1"/>
        <v>1.925278384847573E-3</v>
      </c>
      <c r="R175" s="12">
        <f ca="1"/>
        <v>-2.8461197900196966E-3</v>
      </c>
      <c r="S175" s="12">
        <f ca="1"/>
        <v>-2.8421131360474305E-3</v>
      </c>
      <c r="T175" s="12">
        <f ca="1"/>
        <v>-1.248950461796805E-2</v>
      </c>
      <c r="U175" s="12">
        <f ca="1"/>
        <v>3.5926700767823228E-3</v>
      </c>
      <c r="V175" s="12">
        <f ca="1"/>
        <v>-6.8814766839377928E-3</v>
      </c>
      <c r="W175" s="12">
        <f ca="1"/>
        <v>9.442695797074796E-3</v>
      </c>
      <c r="X175" s="12">
        <f ca="1"/>
        <v>1.3501867279517299E-2</v>
      </c>
      <c r="Y175" s="12">
        <f ca="1"/>
        <v>1.0196560196560123E-2</v>
      </c>
      <c r="Z175" s="12">
        <f ca="1"/>
        <v>-4.5084121976866398E-2</v>
      </c>
    </row>
    <row r="176" spans="1:26" x14ac:dyDescent="0.2">
      <c r="A176" vm="2789">
        <f ca="1"/>
        <v>46216</v>
      </c>
      <c r="B176" s="13">
        <f ca="1"/>
        <v>-1.8603970044034318E-3</v>
      </c>
      <c r="C176" s="66">
        <f t="shared" ca="1" si="11"/>
        <v>1.1322553173981977</v>
      </c>
      <c r="D176" s="66">
        <f t="shared" ca="1" si="12"/>
        <v>1.1817638126699421</v>
      </c>
      <c r="E176" s="13">
        <f t="shared" ca="1" si="10"/>
        <v>-4.189373099848992E-2</v>
      </c>
      <c r="F176" s="13">
        <f ca="1"/>
        <v>-7.6561361679582385E-3</v>
      </c>
      <c r="G176" s="67">
        <f t="shared" ca="1" si="13"/>
        <v>1.0898761983735574</v>
      </c>
      <c r="H176" s="13">
        <f ca="1"/>
        <v>-1.8979752174332565E-2</v>
      </c>
      <c r="I176" s="67">
        <f t="shared" ca="1" si="14"/>
        <v>1.1194928983751988</v>
      </c>
      <c r="J176" s="12">
        <f ca="1"/>
        <v>-1.2280652339238807E-2</v>
      </c>
      <c r="K176" s="12">
        <f ca="1"/>
        <v>-6.2668766876687543E-2</v>
      </c>
      <c r="L176" s="12">
        <f ca="1"/>
        <v>-4.073888226808009E-2</v>
      </c>
      <c r="M176" s="12">
        <f ca="1"/>
        <v>-1.0091835704914676E-2</v>
      </c>
      <c r="N176" s="12">
        <f ca="1"/>
        <v>9.1028865732423192E-3</v>
      </c>
      <c r="O176" s="12">
        <f ca="1"/>
        <v>-2.3945267958950911E-2</v>
      </c>
      <c r="P176" s="12">
        <f ca="1"/>
        <v>7.7260755048287333E-3</v>
      </c>
      <c r="Q176" s="12">
        <f ca="1"/>
        <v>1.5294728641911171E-2</v>
      </c>
      <c r="R176" s="12">
        <f ca="1"/>
        <v>6.3110490929849661E-3</v>
      </c>
      <c r="S176" s="12">
        <f ca="1"/>
        <v>-3.9802985223891807E-2</v>
      </c>
      <c r="T176" s="12">
        <f ca="1"/>
        <v>-5.6329046657456194E-3</v>
      </c>
      <c r="U176" s="12">
        <f ca="1"/>
        <v>1.1110504774897612E-2</v>
      </c>
      <c r="V176" s="12">
        <f ca="1"/>
        <v>8.0296731067091009E-3</v>
      </c>
      <c r="W176" s="12">
        <f ca="1"/>
        <v>3.4941305942773226E-2</v>
      </c>
      <c r="X176" s="12">
        <f ca="1"/>
        <v>3.287981859410416E-2</v>
      </c>
      <c r="Y176" s="12">
        <f ca="1"/>
        <v>2.1281770643317488E-2</v>
      </c>
      <c r="Z176" s="12">
        <f ca="1"/>
        <v>-4.2395044735031084E-2</v>
      </c>
    </row>
    <row r="177" spans="1:26" x14ac:dyDescent="0.2">
      <c r="A177" vm="2806">
        <f ca="1"/>
        <v>46217</v>
      </c>
      <c r="B177" s="13">
        <f ca="1"/>
        <v>5.4483293451570362E-5</v>
      </c>
      <c r="C177" s="66">
        <f t="shared" ca="1" si="11"/>
        <v>1.1323170063969175</v>
      </c>
      <c r="D177" s="66">
        <f t="shared" ca="1" si="12"/>
        <v>1.1817638126699421</v>
      </c>
      <c r="E177" s="13">
        <f t="shared" ca="1" si="10"/>
        <v>-4.1841530213478278E-2</v>
      </c>
      <c r="F177" s="13">
        <f ca="1"/>
        <v>3.550595992898975E-3</v>
      </c>
      <c r="G177" s="67">
        <f t="shared" ca="1" si="13"/>
        <v>1.0937459084362586</v>
      </c>
      <c r="H177" s="13">
        <f ca="1"/>
        <v>1.1169809199988778E-2</v>
      </c>
      <c r="I177" s="67">
        <f t="shared" ca="1" si="14"/>
        <v>1.1319974204507923</v>
      </c>
      <c r="J177" s="12">
        <f ca="1"/>
        <v>1.899221490290004E-2</v>
      </c>
      <c r="K177" s="12">
        <f ca="1"/>
        <v>-4.0451326371384044E-2</v>
      </c>
      <c r="L177" s="12">
        <f ca="1"/>
        <v>-7.4868408147252818E-3</v>
      </c>
      <c r="M177" s="12">
        <f ca="1"/>
        <v>1.1825874197165742E-2</v>
      </c>
      <c r="N177" s="12">
        <f ca="1"/>
        <v>-1.388724035608313E-2</v>
      </c>
      <c r="O177" s="12">
        <f ca="1"/>
        <v>3.3878504672897103E-2</v>
      </c>
      <c r="P177" s="12">
        <f ca="1"/>
        <v>-9.4093047569262511E-3</v>
      </c>
      <c r="Q177" s="12">
        <f ca="1"/>
        <v>-1.5499117624491632E-2</v>
      </c>
      <c r="R177" s="12">
        <f ca="1"/>
        <v>-7.7211559673504571E-3</v>
      </c>
      <c r="S177" s="12">
        <f ca="1"/>
        <v>1.3175367790652315E-2</v>
      </c>
      <c r="T177" s="12">
        <f ca="1"/>
        <v>2.1911073108165757E-2</v>
      </c>
      <c r="U177" s="12">
        <f ca="1"/>
        <v>-5.0516498818042876E-3</v>
      </c>
      <c r="V177" s="12">
        <f ca="1"/>
        <v>7.2783146658039755E-4</v>
      </c>
      <c r="W177" s="12">
        <f ca="1"/>
        <v>-8.6840939299954734E-3</v>
      </c>
      <c r="X177" s="12">
        <f ca="1"/>
        <v>-2.4149286498352796E-3</v>
      </c>
      <c r="Y177" s="12">
        <f ca="1"/>
        <v>5.1202667301737392E-3</v>
      </c>
      <c r="Z177" s="12">
        <f ca="1"/>
        <v>-2.1992238033635036E-2</v>
      </c>
    </row>
    <row r="178" spans="1:26" x14ac:dyDescent="0.2">
      <c r="A178" vm="2821">
        <f ca="1"/>
        <v>46218</v>
      </c>
      <c r="B178" s="13">
        <f ca="1"/>
        <v>1.495862174541337E-2</v>
      </c>
      <c r="C178" s="66">
        <f t="shared" ca="1" si="11"/>
        <v>1.1492549081915078</v>
      </c>
      <c r="D178" s="66">
        <f t="shared" ca="1" si="12"/>
        <v>1.1817638126699421</v>
      </c>
      <c r="E178" s="13">
        <f t="shared" ca="1" si="10"/>
        <v>-2.7508800091777603E-2</v>
      </c>
      <c r="F178" s="13">
        <f ca="1"/>
        <v>3.9636619980578658E-3</v>
      </c>
      <c r="G178" s="67">
        <f t="shared" ca="1" si="13"/>
        <v>1.0980811475290586</v>
      </c>
      <c r="H178" s="13">
        <f ca="1"/>
        <v>-2.7094999235782735E-3</v>
      </c>
      <c r="I178" s="67">
        <f t="shared" ca="1" si="14"/>
        <v>1.12893027352659</v>
      </c>
      <c r="J178" s="12">
        <f ca="1"/>
        <v>3.6045112361122733E-2</v>
      </c>
      <c r="K178" s="12">
        <f ca="1"/>
        <v>-3.5276457343007217E-2</v>
      </c>
      <c r="L178" s="12">
        <f ca="1"/>
        <v>3.2610843929112843E-3</v>
      </c>
      <c r="M178" s="12">
        <f ca="1"/>
        <v>1.2191435768261982E-2</v>
      </c>
      <c r="N178" s="12">
        <f ca="1"/>
        <v>-7.5830524795377219E-3</v>
      </c>
      <c r="O178" s="12">
        <f ca="1"/>
        <v>1.3559322033898313E-2</v>
      </c>
      <c r="P178" s="12">
        <f ca="1"/>
        <v>-1.0290237467018515E-2</v>
      </c>
      <c r="Q178" s="12">
        <f ca="1"/>
        <v>2.7797261839815013E-2</v>
      </c>
      <c r="R178" s="12">
        <f ca="1"/>
        <v>4.0144826271993894E-2</v>
      </c>
      <c r="S178" s="12">
        <f ca="1"/>
        <v>1.3286731258512985E-2</v>
      </c>
      <c r="T178" s="12">
        <f ca="1"/>
        <v>1.8826482585503568E-2</v>
      </c>
      <c r="U178" s="12">
        <f ca="1"/>
        <v>-5.6522918361812113E-3</v>
      </c>
      <c r="V178" s="12">
        <f ca="1"/>
        <v>3.0183037698492843E-2</v>
      </c>
      <c r="W178" s="12">
        <f ca="1"/>
        <v>-3.6649682667382333E-3</v>
      </c>
      <c r="X178" s="12">
        <f ca="1"/>
        <v>-8.8028169014087165E-4</v>
      </c>
      <c r="Y178" s="12">
        <f ca="1"/>
        <v>2.7247956403271267E-3</v>
      </c>
      <c r="Z178" s="12">
        <f ca="1"/>
        <v>-5.9523809523809312E-3</v>
      </c>
    </row>
    <row r="179" spans="1:26" x14ac:dyDescent="0.2">
      <c r="A179" vm="2836">
        <f ca="1"/>
        <v>46219</v>
      </c>
      <c r="B179" s="13">
        <f ca="1"/>
        <v>-4.8507100418740713E-3</v>
      </c>
      <c r="C179" s="66">
        <f t="shared" ca="1" si="11"/>
        <v>1.1436802058676701</v>
      </c>
      <c r="D179" s="66">
        <f t="shared" ca="1" si="12"/>
        <v>1.1817638126699421</v>
      </c>
      <c r="E179" s="13">
        <f t="shared" ca="1" si="10"/>
        <v>-3.2226072920806675E-2</v>
      </c>
      <c r="F179" s="13">
        <f ca="1"/>
        <v>-5.4185821597486639E-3</v>
      </c>
      <c r="G179" s="67">
        <f t="shared" ca="1" si="13"/>
        <v>1.0921311046131013</v>
      </c>
      <c r="H179" s="13">
        <f ca="1"/>
        <v>-1.6440493772117981E-2</v>
      </c>
      <c r="I179" s="67">
        <f t="shared" ca="1" si="14"/>
        <v>1.1103701023955206</v>
      </c>
      <c r="J179" s="12">
        <f ca="1"/>
        <v>-4.429918154560919E-2</v>
      </c>
      <c r="K179" s="12">
        <f ca="1"/>
        <v>-5.4590248962655741E-2</v>
      </c>
      <c r="L179" s="12">
        <f ca="1"/>
        <v>-3.4343500673080007E-2</v>
      </c>
      <c r="M179" s="12">
        <f ca="1"/>
        <v>5.9725263786591931E-4</v>
      </c>
      <c r="N179" s="12">
        <f ca="1"/>
        <v>2.99575500303213E-2</v>
      </c>
      <c r="O179" s="12">
        <f ca="1"/>
        <v>-2.3411371237458289E-2</v>
      </c>
      <c r="P179" s="12">
        <f ca="1"/>
        <v>2.1505376344086002E-2</v>
      </c>
      <c r="Q179" s="12">
        <f ca="1"/>
        <v>1.3826049591790346E-2</v>
      </c>
      <c r="R179" s="12">
        <f ca="1"/>
        <v>1.7587786259541938E-2</v>
      </c>
      <c r="S179" s="12">
        <f ca="1"/>
        <v>-5.0294207162422611E-2</v>
      </c>
      <c r="T179" s="12">
        <f ca="1"/>
        <v>-5.3382609588337959E-2</v>
      </c>
      <c r="U179" s="12">
        <f ca="1"/>
        <v>3.167346760643297E-2</v>
      </c>
      <c r="V179" s="12">
        <f ca="1"/>
        <v>-1.9885472230938284E-2</v>
      </c>
      <c r="W179" s="12">
        <f ca="1"/>
        <v>1.2381123272923178E-2</v>
      </c>
      <c r="X179" s="12">
        <f ca="1"/>
        <v>1.2444933920704893E-2</v>
      </c>
      <c r="Y179" s="12">
        <f ca="1"/>
        <v>5.1984877126654006E-3</v>
      </c>
      <c r="Z179" s="12">
        <f ca="1"/>
        <v>-3.0753308198417928E-2</v>
      </c>
    </row>
    <row r="180" spans="1:26" x14ac:dyDescent="0.2">
      <c r="A180" vm="2852">
        <f ca="1"/>
        <v>46220</v>
      </c>
      <c r="B180" s="13">
        <f ca="1"/>
        <v>-9.3776549238969442E-3</v>
      </c>
      <c r="C180" s="66">
        <f t="shared" ca="1" si="11"/>
        <v>1.1329551675537517</v>
      </c>
      <c r="D180" s="66">
        <f t="shared" ca="1" si="12"/>
        <v>1.1817638126699421</v>
      </c>
      <c r="E180" s="13">
        <f t="shared" ca="1" si="10"/>
        <v>-4.1301522853299896E-2</v>
      </c>
      <c r="F180" s="13">
        <f ca="1"/>
        <v>-9.8971653878944243E-3</v>
      </c>
      <c r="G180" s="67">
        <f t="shared" ca="1" si="13"/>
        <v>1.0813221024454815</v>
      </c>
      <c r="H180" s="13">
        <f ca="1"/>
        <v>-1.5029605915516941E-2</v>
      </c>
      <c r="I180" s="67">
        <f t="shared" ca="1" si="14"/>
        <v>1.0936816773361437</v>
      </c>
      <c r="J180" s="12">
        <f ca="1"/>
        <v>-2.1734829428224134E-2</v>
      </c>
      <c r="K180" s="12">
        <f ca="1"/>
        <v>4.1146619119460937E-3</v>
      </c>
      <c r="L180" s="12">
        <f ca="1"/>
        <v>-1.5470402230458036E-2</v>
      </c>
      <c r="M180" s="12">
        <f ca="1"/>
        <v>8.9534421010739607E-4</v>
      </c>
      <c r="N180" s="12">
        <f ca="1"/>
        <v>-3.9566650965614736E-2</v>
      </c>
      <c r="O180" s="12">
        <f ca="1"/>
        <v>-3.0821917808219079E-2</v>
      </c>
      <c r="P180" s="12">
        <f ca="1"/>
        <v>-6.1765985210961993E-3</v>
      </c>
      <c r="Q180" s="12">
        <f ca="1"/>
        <v>-1.8150087260034975E-2</v>
      </c>
      <c r="R180" s="12">
        <f ca="1"/>
        <v>1.4403168697114666E-3</v>
      </c>
      <c r="S180" s="12">
        <f ca="1"/>
        <v>-9.6808652690613117E-3</v>
      </c>
      <c r="T180" s="12">
        <f ca="1"/>
        <v>-1.8219282073527743E-2</v>
      </c>
      <c r="U180" s="12">
        <f ca="1"/>
        <v>-4.9705468659115848E-3</v>
      </c>
      <c r="V180" s="12">
        <f ca="1"/>
        <v>-1.0644683660810728E-2</v>
      </c>
      <c r="W180" s="12">
        <f ca="1"/>
        <v>1.6572137539879295E-2</v>
      </c>
      <c r="X180" s="12">
        <f ca="1"/>
        <v>1.9145001631676095E-2</v>
      </c>
      <c r="Y180" s="12">
        <f ca="1"/>
        <v>2.6328161730136301E-2</v>
      </c>
      <c r="Z180" s="12">
        <f ca="1"/>
        <v>-5.43055449622456E-2</v>
      </c>
    </row>
    <row r="181" spans="1:26" x14ac:dyDescent="0.2">
      <c r="A181" vm="2867">
        <f ca="1"/>
        <v>46223</v>
      </c>
      <c r="B181" s="13">
        <f ca="1"/>
        <v>3.7922710483387152E-3</v>
      </c>
      <c r="C181" s="66">
        <f t="shared" ca="1" si="11"/>
        <v>1.1372516406347315</v>
      </c>
      <c r="D181" s="66">
        <f t="shared" ca="1" si="12"/>
        <v>1.1817638126699421</v>
      </c>
      <c r="E181" s="13">
        <f t="shared" ca="1" si="10"/>
        <v>-3.7665878374330074E-2</v>
      </c>
      <c r="F181" s="13">
        <f ca="1"/>
        <v>-1.6144438913477943E-3</v>
      </c>
      <c r="G181" s="67">
        <f t="shared" ca="1" si="13"/>
        <v>1.0795763685826092</v>
      </c>
      <c r="H181" s="13">
        <f ca="1"/>
        <v>1.0498612169760335E-3</v>
      </c>
      <c r="I181" s="67">
        <f t="shared" ca="1" si="14"/>
        <v>1.0948298913128962</v>
      </c>
      <c r="J181" s="12">
        <f ca="1"/>
        <v>1.5168149774644535E-2</v>
      </c>
      <c r="K181" s="12">
        <f ca="1"/>
        <v>-2.0489004234393038E-3</v>
      </c>
      <c r="L181" s="12">
        <f ca="1"/>
        <v>7.2869180826080626E-3</v>
      </c>
      <c r="M181" s="12">
        <f ca="1"/>
        <v>-1.5902991750322948E-2</v>
      </c>
      <c r="N181" s="12">
        <f ca="1"/>
        <v>6.8661108386465219E-3</v>
      </c>
      <c r="O181" s="12">
        <f ca="1"/>
        <v>3.7691401648998868E-2</v>
      </c>
      <c r="P181" s="12">
        <f ca="1"/>
        <v>-1.7857142857142794E-2</v>
      </c>
      <c r="Q181" s="12">
        <f ca="1"/>
        <v>2.1507287593316882E-2</v>
      </c>
      <c r="R181" s="12">
        <f ca="1"/>
        <v>-2.14238628872776E-2</v>
      </c>
      <c r="S181" s="12">
        <f ca="1"/>
        <v>1.9780219780219932E-2</v>
      </c>
      <c r="T181" s="12">
        <f ca="1"/>
        <v>1.2702971390699203E-2</v>
      </c>
      <c r="U181" s="12">
        <f ca="1"/>
        <v>-5.3886296725371707E-3</v>
      </c>
      <c r="V181" s="12">
        <f ca="1"/>
        <v>1.1163693726489621E-2</v>
      </c>
      <c r="W181" s="12">
        <f ca="1"/>
        <v>8.4561067038619875E-3</v>
      </c>
      <c r="X181" s="12">
        <f ca="1"/>
        <v>1.2434624826555662E-2</v>
      </c>
      <c r="Y181" s="12">
        <f ca="1"/>
        <v>-1.2826385707741528E-2</v>
      </c>
      <c r="Z181" s="12">
        <f ca="1"/>
        <v>-3.3389789499153166E-2</v>
      </c>
    </row>
    <row r="182" spans="1:26" x14ac:dyDescent="0.2">
      <c r="A182" vm="2882">
        <f ca="1"/>
        <v>46224</v>
      </c>
      <c r="B182" s="13">
        <f ca="1"/>
        <v>5.9624046951730148E-3</v>
      </c>
      <c r="C182" s="66">
        <f t="shared" ca="1" si="11"/>
        <v>1.1440323951564451</v>
      </c>
      <c r="D182" s="66">
        <f t="shared" ca="1" si="12"/>
        <v>1.1817638126699421</v>
      </c>
      <c r="E182" s="13">
        <f t="shared" ca="1" si="10"/>
        <v>-3.192805288922413E-2</v>
      </c>
      <c r="F182" s="13">
        <f ca="1"/>
        <v>8.3413063105552965E-3</v>
      </c>
      <c r="G182" s="67">
        <f t="shared" ca="1" si="13"/>
        <v>1.0885814457585936</v>
      </c>
      <c r="H182" s="13">
        <f ca="1"/>
        <v>1.8547251673706411E-2</v>
      </c>
      <c r="I182" s="67">
        <f t="shared" ca="1" si="14"/>
        <v>1.1151359768469731</v>
      </c>
      <c r="J182" s="12">
        <f ca="1"/>
        <v>-1.4742294447448567E-2</v>
      </c>
      <c r="K182" s="12">
        <f ca="1"/>
        <v>8.9241719134957487E-2</v>
      </c>
      <c r="L182" s="12">
        <f ca="1"/>
        <v>4.3988068707786043E-2</v>
      </c>
      <c r="M182" s="12">
        <f ca="1"/>
        <v>2.131097868902132E-2</v>
      </c>
      <c r="N182" s="12">
        <f ca="1"/>
        <v>-1.8265952264978624E-3</v>
      </c>
      <c r="O182" s="12">
        <f ca="1"/>
        <v>-1.3620885357548351E-2</v>
      </c>
      <c r="P182" s="12">
        <f ca="1"/>
        <v>-1.613190730837788E-2</v>
      </c>
      <c r="Q182" s="12">
        <f ca="1"/>
        <v>-1.1285391135747891E-2</v>
      </c>
      <c r="R182" s="12">
        <f ca="1"/>
        <v>3.521234575461607E-3</v>
      </c>
      <c r="S182" s="12">
        <f ca="1"/>
        <v>2.2054156970594319E-2</v>
      </c>
      <c r="T182" s="12">
        <f ca="1"/>
        <v>2.9886561954624691E-2</v>
      </c>
      <c r="U182" s="12">
        <f ca="1"/>
        <v>-7.0314169694378759E-3</v>
      </c>
      <c r="V182" s="12">
        <f ca="1"/>
        <v>-9.7603904156166044E-3</v>
      </c>
      <c r="W182" s="12">
        <f ca="1"/>
        <v>1.5733056708160387E-2</v>
      </c>
      <c r="X182" s="12">
        <f ca="1"/>
        <v>7.1688366454061292E-3</v>
      </c>
      <c r="Y182" s="12">
        <f ca="1"/>
        <v>1.1600928074245953E-2</v>
      </c>
      <c r="Z182" s="12">
        <f ca="1"/>
        <v>3.0788485607008864E-2</v>
      </c>
    </row>
    <row r="183" spans="1:26" x14ac:dyDescent="0.2">
      <c r="A183" vm="2897">
        <f ca="1"/>
        <v>46225</v>
      </c>
      <c r="B183" s="13">
        <f ca="1"/>
        <v>-6.7930101582178409E-4</v>
      </c>
      <c r="C183" s="66">
        <f t="shared" ca="1" si="11"/>
        <v>1.1432552527882822</v>
      </c>
      <c r="D183" s="66">
        <f t="shared" ca="1" si="12"/>
        <v>1.1817638126699421</v>
      </c>
      <c r="E183" s="13">
        <f t="shared" ca="1" si="10"/>
        <v>-3.2585665146285088E-2</v>
      </c>
      <c r="F183" s="13">
        <f ca="1"/>
        <v>-1.1626663815683669E-3</v>
      </c>
      <c r="G183" s="67">
        <f t="shared" ca="1" si="13"/>
        <v>1.0873157887080109</v>
      </c>
      <c r="H183" s="13">
        <f ca="1"/>
        <v>-5.1059988433925785E-3</v>
      </c>
      <c r="I183" s="67">
        <f t="shared" ca="1" si="14"/>
        <v>1.1094420938389671</v>
      </c>
      <c r="J183" s="12">
        <f ca="1"/>
        <v>-1.2363153181778719E-2</v>
      </c>
      <c r="K183" s="12">
        <f ca="1"/>
        <v>3.8451872329731129E-2</v>
      </c>
      <c r="L183" s="12">
        <f ca="1"/>
        <v>-1.0968801313628873E-2</v>
      </c>
      <c r="M183" s="12">
        <f ca="1"/>
        <v>1.9679588607594889E-2</v>
      </c>
      <c r="N183" s="12">
        <f ca="1"/>
        <v>2.8059045992436804E-3</v>
      </c>
      <c r="O183" s="12">
        <f ca="1"/>
        <v>1.9562715765247374E-2</v>
      </c>
      <c r="P183" s="12">
        <f ca="1"/>
        <v>-9.6023190506386857E-3</v>
      </c>
      <c r="Q183" s="12">
        <f ca="1"/>
        <v>-1.8629792583281013E-2</v>
      </c>
      <c r="R183" s="12">
        <f ca="1"/>
        <v>-5.6447183743211227E-3</v>
      </c>
      <c r="S183" s="12">
        <f ca="1"/>
        <v>2.6675291073738672E-2</v>
      </c>
      <c r="T183" s="12">
        <f ca="1"/>
        <v>-9.743698368989584E-3</v>
      </c>
      <c r="U183" s="12">
        <f ca="1"/>
        <v>-2.0554873980328514E-3</v>
      </c>
      <c r="V183" s="12">
        <f ca="1"/>
        <v>-1.090688749747537E-2</v>
      </c>
      <c r="W183" s="12">
        <f ca="1"/>
        <v>1.0978723404255319E-2</v>
      </c>
      <c r="X183" s="12">
        <f ca="1"/>
        <v>9.9963364212067862E-3</v>
      </c>
      <c r="Y183" s="12">
        <f ca="1"/>
        <v>6.5366972477063356E-3</v>
      </c>
      <c r="Z183" s="12">
        <f ca="1"/>
        <v>-6.7022826614861586E-2</v>
      </c>
    </row>
    <row r="184" spans="1:26" x14ac:dyDescent="0.2">
      <c r="A184" vm="2912">
        <f ca="1"/>
        <v>46226</v>
      </c>
      <c r="B184" s="13">
        <f ca="1"/>
        <v>-1.5636509065548043E-2</v>
      </c>
      <c r="C184" s="66">
        <f t="shared" ca="1" si="11"/>
        <v>1.1253787316638229</v>
      </c>
      <c r="D184" s="66">
        <f t="shared" ca="1" si="12"/>
        <v>1.1817638126699421</v>
      </c>
      <c r="E184" s="13">
        <f t="shared" ca="1" si="10"/>
        <v>-4.7712648163366303E-2</v>
      </c>
      <c r="F184" s="13">
        <f ca="1"/>
        <v>-1.2349312960757808E-2</v>
      </c>
      <c r="G184" s="67">
        <f t="shared" ca="1" si="13"/>
        <v>1.0738881857460825</v>
      </c>
      <c r="H184" s="13">
        <f ca="1"/>
        <v>-1.8983483377046806E-2</v>
      </c>
      <c r="I184" s="67">
        <f t="shared" ca="1" si="14"/>
        <v>1.0883810182927791</v>
      </c>
      <c r="J184" s="12">
        <f ca="1"/>
        <v>-6.8936269778596793E-2</v>
      </c>
      <c r="K184" s="12">
        <f ca="1"/>
        <v>-1.8635043562439613E-2</v>
      </c>
      <c r="L184" s="12">
        <f ca="1"/>
        <v>9.5630229778191911E-3</v>
      </c>
      <c r="M184" s="12">
        <f ca="1"/>
        <v>-1.3189797303850281E-2</v>
      </c>
      <c r="N184" s="12">
        <f ca="1"/>
        <v>-1.253041362530416E-2</v>
      </c>
      <c r="O184" s="12">
        <f ca="1"/>
        <v>-2.2573363431151128E-2</v>
      </c>
      <c r="P184" s="12">
        <f ca="1"/>
        <v>-8.5063569011250006E-3</v>
      </c>
      <c r="Q184" s="12">
        <f ca="1"/>
        <v>-2.244197366398526E-2</v>
      </c>
      <c r="R184" s="12">
        <f ca="1"/>
        <v>-1.2979839823253125E-2</v>
      </c>
      <c r="S184" s="12">
        <f ca="1"/>
        <v>-1.093722436430522E-2</v>
      </c>
      <c r="T184" s="12">
        <f ca="1"/>
        <v>-1.8609625668449148E-2</v>
      </c>
      <c r="U184" s="12">
        <f ca="1"/>
        <v>-1.3479850319741971E-3</v>
      </c>
      <c r="V184" s="12">
        <f ca="1"/>
        <v>-4.5701449867265653E-2</v>
      </c>
      <c r="W184" s="12">
        <f ca="1"/>
        <v>1.1869686000504975E-2</v>
      </c>
      <c r="X184" s="12">
        <f ca="1"/>
        <v>7.4619131516218129E-3</v>
      </c>
      <c r="Y184" s="12">
        <f ca="1"/>
        <v>2.0508146291444707E-3</v>
      </c>
      <c r="Z184" s="12">
        <f ca="1"/>
        <v>2.5854589623459878E-2</v>
      </c>
    </row>
    <row r="185" spans="1:26" x14ac:dyDescent="0.2">
      <c r="A185" vm="2928">
        <f ca="1"/>
        <v>46227</v>
      </c>
      <c r="B185" s="13">
        <f ca="1"/>
        <v>5.3731422527385664E-4</v>
      </c>
      <c r="C185" s="66">
        <f t="shared" ca="1" si="11"/>
        <v>1.1259834136651665</v>
      </c>
      <c r="D185" s="66">
        <f t="shared" ca="1" si="12"/>
        <v>1.1817638126699421</v>
      </c>
      <c r="E185" s="13">
        <f t="shared" ca="1" si="10"/>
        <v>-4.7200970622676072E-2</v>
      </c>
      <c r="F185" s="13">
        <f ca="1"/>
        <v>1.0160123547102717E-3</v>
      </c>
      <c r="G185" s="67">
        <f t="shared" ca="1" si="13"/>
        <v>1.0749792694103779</v>
      </c>
      <c r="H185" s="13">
        <f ca="1"/>
        <v>-1.1171165963350549E-2</v>
      </c>
      <c r="I185" s="67">
        <f t="shared" ca="1" si="14"/>
        <v>1.07622253330607</v>
      </c>
      <c r="J185" s="12">
        <f ca="1"/>
        <v>2.3559716026888555E-3</v>
      </c>
      <c r="K185" s="12">
        <f ca="1"/>
        <v>-0.11368680641183726</v>
      </c>
      <c r="L185" s="12">
        <f ca="1"/>
        <v>-4.4994079726351832E-2</v>
      </c>
      <c r="M185" s="12">
        <f ca="1"/>
        <v>1.6216216216216273E-2</v>
      </c>
      <c r="N185" s="12">
        <f ca="1"/>
        <v>1.3305408402118912E-2</v>
      </c>
      <c r="O185" s="12">
        <f ca="1"/>
        <v>-1.0392609699769073E-2</v>
      </c>
      <c r="P185" s="12">
        <f ca="1"/>
        <v>9.87084870848709E-3</v>
      </c>
      <c r="Q185" s="12">
        <f ca="1"/>
        <v>3.1448189108451707E-4</v>
      </c>
      <c r="R185" s="12">
        <f ca="1"/>
        <v>3.5316794130448192E-2</v>
      </c>
      <c r="S185" s="12">
        <f ca="1"/>
        <v>-2.6881035493158789E-2</v>
      </c>
      <c r="T185" s="12">
        <f ca="1"/>
        <v>-2.1795989537931604E-4</v>
      </c>
      <c r="U185" s="12">
        <f ca="1"/>
        <v>9.6861974386108773E-3</v>
      </c>
      <c r="V185" s="12">
        <f ca="1"/>
        <v>-6.6335701446545992E-3</v>
      </c>
      <c r="W185" s="12">
        <f ca="1"/>
        <v>4.9916805324468072E-4</v>
      </c>
      <c r="X185" s="12">
        <f ca="1"/>
        <v>1.9030963892603392E-3</v>
      </c>
      <c r="Y185" s="12">
        <f ca="1"/>
        <v>4.8891415577032582E-3</v>
      </c>
      <c r="Z185" s="12">
        <f ca="1"/>
        <v>-2.6809878213802429E-2</v>
      </c>
    </row>
    <row r="186" spans="1:26" x14ac:dyDescent="0.2">
      <c r="A186" vm="2942">
        <f ca="1"/>
        <v>46230</v>
      </c>
      <c r="B186" s="13">
        <f ca="1"/>
        <v>1.7868741291978611E-3</v>
      </c>
      <c r="C186" s="66">
        <f t="shared" ca="1" si="11"/>
        <v>1.1279954042969507</v>
      </c>
      <c r="D186" s="66">
        <f t="shared" ca="1" si="12"/>
        <v>1.1817638126699421</v>
      </c>
      <c r="E186" s="13">
        <f t="shared" ca="1" si="10"/>
        <v>-4.5498438686756924E-2</v>
      </c>
      <c r="F186" s="13">
        <f ca="1"/>
        <v>2.1652930588844654E-4</v>
      </c>
      <c r="G186" s="67">
        <f t="shared" ca="1" si="13"/>
        <v>1.0752120339254279</v>
      </c>
      <c r="H186" s="13">
        <f ca="1"/>
        <v>-3.0837583853382533E-3</v>
      </c>
      <c r="I186" s="67">
        <f t="shared" ca="1" si="14"/>
        <v>1.0729037230444973</v>
      </c>
      <c r="J186" s="12">
        <f ca="1"/>
        <v>2.3441662226957982E-2</v>
      </c>
      <c r="K186" s="12">
        <f ca="1"/>
        <v>-1.5164162493043865E-2</v>
      </c>
      <c r="L186" s="12">
        <f ca="1"/>
        <v>-9.5054415208706278E-3</v>
      </c>
      <c r="M186" s="12">
        <f ca="1"/>
        <v>5.5125725338489584E-3</v>
      </c>
      <c r="N186" s="12">
        <f ca="1"/>
        <v>2.2127659574467939E-2</v>
      </c>
      <c r="O186" s="12">
        <f ca="1"/>
        <v>-3.7339556592765444E-2</v>
      </c>
      <c r="P186" s="12">
        <f ca="1"/>
        <v>2.0736274778478059E-2</v>
      </c>
      <c r="Q186" s="12">
        <f ca="1"/>
        <v>1.9386953104532534E-2</v>
      </c>
      <c r="R186" s="12">
        <f ca="1"/>
        <v>1.1680980121314244E-2</v>
      </c>
      <c r="S186" s="12">
        <f ca="1"/>
        <v>3.4038542103058678E-3</v>
      </c>
      <c r="T186" s="12">
        <f ca="1"/>
        <v>5.7771964246784435E-3</v>
      </c>
      <c r="U186" s="12">
        <f ca="1"/>
        <v>1.7699966845983628E-2</v>
      </c>
      <c r="V186" s="12">
        <f ca="1"/>
        <v>-3.1019775106632119E-3</v>
      </c>
      <c r="W186" s="12">
        <f ca="1"/>
        <v>-3.8915682687510444E-2</v>
      </c>
      <c r="X186" s="12">
        <f ca="1"/>
        <v>-2.4590584732275711E-2</v>
      </c>
      <c r="Y186" s="12">
        <f ca="1"/>
        <v>-2.2742701968771151E-2</v>
      </c>
      <c r="Z186" s="12">
        <f ca="1"/>
        <v>-1.3643868949335114E-2</v>
      </c>
    </row>
    <row r="187" spans="1:26" x14ac:dyDescent="0.2">
      <c r="A187" vm="2955">
        <f ca="1"/>
        <v>46231</v>
      </c>
      <c r="B187" s="13">
        <f ca="1"/>
        <v>1.5078664014595046E-3</v>
      </c>
      <c r="C187" s="66">
        <f t="shared" ca="1" si="11"/>
        <v>1.1296962706680909</v>
      </c>
      <c r="D187" s="66">
        <f t="shared" ca="1" si="12"/>
        <v>1.1817638126699421</v>
      </c>
      <c r="E187" s="13">
        <f t="shared" ca="1" si="10"/>
        <v>-4.4059177852311969E-2</v>
      </c>
      <c r="F187" s="13">
        <f ca="1"/>
        <v>2.3948368940183151E-3</v>
      </c>
      <c r="G187" s="67">
        <f t="shared" ca="1" si="13"/>
        <v>1.077786991373165</v>
      </c>
      <c r="H187" s="13">
        <f ca="1"/>
        <v>-9.719697413944739E-3</v>
      </c>
      <c r="I187" s="67">
        <f t="shared" ca="1" si="14"/>
        <v>1.06247542350221</v>
      </c>
      <c r="J187" s="12">
        <f ca="1"/>
        <v>1.8464647701871062E-2</v>
      </c>
      <c r="K187" s="12">
        <f ca="1"/>
        <v>-4.9300748693318353E-2</v>
      </c>
      <c r="L187" s="12">
        <f ca="1"/>
        <v>-6.2726008344923589E-2</v>
      </c>
      <c r="M187" s="12">
        <f ca="1"/>
        <v>-2.5969029527748155E-3</v>
      </c>
      <c r="N187" s="12">
        <f ca="1"/>
        <v>4.995836802664444E-2</v>
      </c>
      <c r="O187" s="12">
        <f ca="1"/>
        <v>2.4242424242424399E-3</v>
      </c>
      <c r="P187" s="12">
        <f ca="1"/>
        <v>1.2171111508859855E-2</v>
      </c>
      <c r="Q187" s="12">
        <f ca="1"/>
        <v>1.0922641994346005E-2</v>
      </c>
      <c r="R187" s="12">
        <f ca="1"/>
        <v>9.4090409901752547E-3</v>
      </c>
      <c r="S187" s="12">
        <f ca="1"/>
        <v>-6.0278691091278924E-3</v>
      </c>
      <c r="T187" s="12">
        <f ca="1"/>
        <v>-1.4739351902026687E-2</v>
      </c>
      <c r="U187" s="12">
        <f ca="1"/>
        <v>1.5763256899052003E-2</v>
      </c>
      <c r="V187" s="12">
        <f ca="1"/>
        <v>-2.2905052076579446E-3</v>
      </c>
      <c r="W187" s="12">
        <f ca="1"/>
        <v>-1.2804983561169769E-2</v>
      </c>
      <c r="X187" s="12">
        <f ca="1"/>
        <v>-1.2736842105263046E-2</v>
      </c>
      <c r="Y187" s="12">
        <f ca="1"/>
        <v>-1.9682760217668571E-3</v>
      </c>
      <c r="Z187" s="12">
        <f ca="1"/>
        <v>2.5638766519823664E-2</v>
      </c>
    </row>
    <row r="188" spans="1:26" x14ac:dyDescent="0.2">
      <c r="A188" vm="2970">
        <f ca="1"/>
        <v>46232</v>
      </c>
      <c r="B188" s="13">
        <f ca="1"/>
        <v>-1.5797377505738928E-2</v>
      </c>
      <c r="C188" s="66">
        <f t="shared" ca="1" si="11"/>
        <v>1.1118500322135216</v>
      </c>
      <c r="D188" s="66">
        <f t="shared" ca="1" si="12"/>
        <v>1.1817638126699421</v>
      </c>
      <c r="E188" s="13">
        <f t="shared" ca="1" si="10"/>
        <v>-5.9160535892925414E-2</v>
      </c>
      <c r="F188" s="13">
        <f ca="1"/>
        <v>-1.5387522608859894E-2</v>
      </c>
      <c r="G188" s="67">
        <f t="shared" ca="1" si="13"/>
        <v>1.0612025196758754</v>
      </c>
      <c r="H188" s="13">
        <f ca="1"/>
        <v>-2.0370397785311356E-2</v>
      </c>
      <c r="I188" s="67">
        <f t="shared" ca="1" si="14"/>
        <v>1.0408323764883529</v>
      </c>
      <c r="J188" s="12">
        <f ca="1"/>
        <v>9.5009019843654841E-3</v>
      </c>
      <c r="K188" s="12">
        <f ca="1"/>
        <v>-9.6285289747399694E-2</v>
      </c>
      <c r="L188" s="12">
        <f ca="1"/>
        <v>-0.17257753375871798</v>
      </c>
      <c r="M188" s="12">
        <f ca="1"/>
        <v>-1.0607521697203581E-2</v>
      </c>
      <c r="N188" s="12">
        <f ca="1"/>
        <v>9.1763906196895562E-3</v>
      </c>
      <c r="O188" s="12">
        <f ca="1"/>
        <v>-3.2648125755743607E-2</v>
      </c>
      <c r="P188" s="12">
        <f ca="1"/>
        <v>9.902740937223653E-3</v>
      </c>
      <c r="Q188" s="12">
        <f ca="1"/>
        <v>-7.1437650946993836E-3</v>
      </c>
      <c r="R188" s="12">
        <f ca="1"/>
        <v>-5.5575158786167478E-3</v>
      </c>
      <c r="S188" s="12">
        <f ca="1"/>
        <v>-2.7801842955028855E-2</v>
      </c>
      <c r="T188" s="12">
        <f ca="1"/>
        <v>-5.1149488505114804E-2</v>
      </c>
      <c r="U188" s="12">
        <f ca="1"/>
        <v>7.7075875768171098E-3</v>
      </c>
      <c r="V188" s="12">
        <f ca="1"/>
        <v>-1.8236160443558913E-2</v>
      </c>
      <c r="W188" s="12">
        <f ca="1"/>
        <v>3.4706397896582031E-2</v>
      </c>
      <c r="X188" s="12">
        <f ca="1"/>
        <v>2.2816931442584565E-2</v>
      </c>
      <c r="Y188" s="12">
        <f ca="1"/>
        <v>2.482598607888642E-2</v>
      </c>
      <c r="Z188" s="12">
        <f ca="1"/>
        <v>-3.3158663345073447E-2</v>
      </c>
    </row>
    <row r="189" spans="1:26" x14ac:dyDescent="0.2">
      <c r="A189" vm="2987">
        <f ca="1"/>
        <v>46233</v>
      </c>
      <c r="B189" s="13">
        <f ca="1"/>
        <v>3.2500388062651091E-2</v>
      </c>
      <c r="C189" s="66">
        <f t="shared" ca="1" si="11"/>
        <v>1.1479855897279323</v>
      </c>
      <c r="D189" s="66">
        <f t="shared" ca="1" si="12"/>
        <v>1.1817638126699421</v>
      </c>
      <c r="E189" s="13">
        <f t="shared" ca="1" si="10"/>
        <v>-2.8582888204788715E-2</v>
      </c>
      <c r="F189" s="13">
        <f ca="1"/>
        <v>1.6765826775971382E-2</v>
      </c>
      <c r="G189" s="67">
        <f t="shared" ca="1" si="13"/>
        <v>1.0789944572949854</v>
      </c>
      <c r="H189" s="13">
        <f ca="1"/>
        <v>3.2974173756668002E-2</v>
      </c>
      <c r="I189" s="67">
        <f t="shared" ca="1" si="14"/>
        <v>1.0751529641222455</v>
      </c>
      <c r="J189" s="12">
        <f ca="1"/>
        <v>-6.1949011198474402E-3</v>
      </c>
      <c r="K189" s="12">
        <f ca="1"/>
        <v>0.21506083525156217</v>
      </c>
      <c r="L189" s="12">
        <f ca="1"/>
        <v>1.9996413199426133E-2</v>
      </c>
      <c r="M189" s="12">
        <f ca="1"/>
        <v>4.3762183235867447E-2</v>
      </c>
      <c r="N189" s="12">
        <f ca="1"/>
        <v>-6.6232599910193146E-3</v>
      </c>
      <c r="O189" s="12">
        <f ca="1"/>
        <v>1.4999999999999902E-2</v>
      </c>
      <c r="P189" s="12">
        <f ca="1"/>
        <v>-2.7315706531255479E-2</v>
      </c>
      <c r="Q189" s="12">
        <f ca="1"/>
        <v>0.15506734265376143</v>
      </c>
      <c r="R189" s="12">
        <f ca="1"/>
        <v>-1.4074928294745548E-2</v>
      </c>
      <c r="S189" s="12">
        <f ca="1"/>
        <v>4.7310434219053787E-2</v>
      </c>
      <c r="T189" s="12">
        <f ca="1"/>
        <v>4.8921864131694859E-2</v>
      </c>
      <c r="U189" s="12">
        <f ca="1"/>
        <v>-2.0389515723335028E-2</v>
      </c>
      <c r="V189" s="12">
        <f ca="1"/>
        <v>3.9046988749172673E-2</v>
      </c>
      <c r="W189" s="12">
        <f ca="1"/>
        <v>8.2161612739284351E-3</v>
      </c>
      <c r="X189" s="12">
        <f ca="1"/>
        <v>2.3454602314185724E-3</v>
      </c>
      <c r="Y189" s="12">
        <f ca="1"/>
        <v>2.4564183835182218E-2</v>
      </c>
      <c r="Z189" s="12">
        <f ca="1"/>
        <v>-3.1097290093291541E-3</v>
      </c>
    </row>
    <row r="190" spans="1:26" x14ac:dyDescent="0.2">
      <c r="A190" vm="3001">
        <f ca="1"/>
        <v>46234</v>
      </c>
      <c r="B190" s="13">
        <f ca="1"/>
        <v>1.2534358672619275E-2</v>
      </c>
      <c r="C190" s="66">
        <f t="shared" ca="1" si="11"/>
        <v>1.1623748528605804</v>
      </c>
      <c r="D190" s="66">
        <f t="shared" ca="1" si="12"/>
        <v>1.1817638126699421</v>
      </c>
      <c r="E190" s="13">
        <f t="shared" ca="1" si="10"/>
        <v>-1.6406797704827777E-2</v>
      </c>
      <c r="F190" s="13">
        <f ca="1"/>
        <v>7.1997734902720101E-3</v>
      </c>
      <c r="G190" s="67">
        <f t="shared" ca="1" si="13"/>
        <v>1.0867629729847683</v>
      </c>
      <c r="H190" s="13">
        <f ca="1"/>
        <v>6.4955014263770039E-3</v>
      </c>
      <c r="I190" s="67">
        <f t="shared" ca="1" si="14"/>
        <v>1.0821366217342749</v>
      </c>
      <c r="J190" s="12">
        <f ca="1"/>
        <v>6.8838408055622136E-2</v>
      </c>
      <c r="K190" s="12">
        <f ca="1"/>
        <v>-2.8822733423545466E-2</v>
      </c>
      <c r="L190" s="12">
        <f ca="1"/>
        <v>6.1846153846153884E-2</v>
      </c>
      <c r="M190" s="12">
        <f ca="1"/>
        <v>-6.2564198337846655E-3</v>
      </c>
      <c r="N190" s="12">
        <f ca="1"/>
        <v>-1.0170640750367221E-2</v>
      </c>
      <c r="O190" s="12">
        <f ca="1"/>
        <v>3.0788177339901468E-2</v>
      </c>
      <c r="P190" s="12">
        <f ca="1"/>
        <v>9.0009000900104219E-4</v>
      </c>
      <c r="Q190" s="12">
        <f ca="1"/>
        <v>3.019286189315018E-2</v>
      </c>
      <c r="R190" s="12">
        <f ca="1"/>
        <v>-7.3538673784602437E-2</v>
      </c>
      <c r="S190" s="12">
        <f ca="1"/>
        <v>3.7128712871286051E-3</v>
      </c>
      <c r="T190" s="12">
        <f ca="1"/>
        <v>-2.7519893899204395E-2</v>
      </c>
      <c r="U190" s="12">
        <f ca="1"/>
        <v>-2.3895113030172332E-3</v>
      </c>
      <c r="V190" s="12">
        <f ca="1"/>
        <v>0.15320594479830141</v>
      </c>
      <c r="W190" s="12">
        <f ca="1"/>
        <v>1.218180290683013E-2</v>
      </c>
      <c r="X190" s="12">
        <f ca="1"/>
        <v>2.3503717955384529E-2</v>
      </c>
      <c r="Y190" s="12">
        <f ca="1"/>
        <v>1.6241299303944245E-2</v>
      </c>
      <c r="Z190" s="12">
        <f ca="1"/>
        <v>-3.4135472370766418E-2</v>
      </c>
    </row>
    <row r="191" spans="1:26" x14ac:dyDescent="0.2">
      <c r="A191" vm="3017">
        <f ca="1"/>
        <v>46237</v>
      </c>
      <c r="B191" s="13">
        <f ca="1"/>
        <v>2.1344128753407403E-2</v>
      </c>
      <c r="C191" s="66">
        <f t="shared" ca="1" si="11"/>
        <v>1.1871847313797594</v>
      </c>
      <c r="D191" s="66">
        <f t="shared" ca="1" si="12"/>
        <v>1.1871847313797594</v>
      </c>
      <c r="E191" s="13">
        <f t="shared" ca="1" si="10"/>
        <v>0</v>
      </c>
      <c r="F191" s="13">
        <f ca="1"/>
        <v>1.4243069220780891E-2</v>
      </c>
      <c r="G191" s="67">
        <f t="shared" ca="1" si="13"/>
        <v>1.102241813235572</v>
      </c>
      <c r="H191" s="13">
        <f ca="1"/>
        <v>1.7558394744109806E-2</v>
      </c>
      <c r="I191" s="67">
        <f t="shared" ca="1" si="14"/>
        <v>1.1011372037057428</v>
      </c>
      <c r="J191" s="12">
        <f ca="1"/>
        <v>4.4357212953876513E-2</v>
      </c>
      <c r="K191" s="12">
        <f ca="1"/>
        <v>0.19492824299846756</v>
      </c>
      <c r="L191" s="12">
        <f ca="1"/>
        <v>8.8918325951070187E-2</v>
      </c>
      <c r="M191" s="12">
        <f ca="1"/>
        <v>1.3531291110693511E-2</v>
      </c>
      <c r="N191" s="12">
        <f ca="1"/>
        <v>-8.3342847357004146E-3</v>
      </c>
      <c r="O191" s="12">
        <f ca="1"/>
        <v>3.4647550776583103E-2</v>
      </c>
      <c r="P191" s="12">
        <f ca="1"/>
        <v>-4.4064748201440018E-3</v>
      </c>
      <c r="Q191" s="12">
        <f ca="1"/>
        <v>4.9341538991220402E-2</v>
      </c>
      <c r="R191" s="12">
        <f ca="1"/>
        <v>-1.7772166650480758E-2</v>
      </c>
      <c r="S191" s="12">
        <f ca="1"/>
        <v>7.5780928894371158E-3</v>
      </c>
      <c r="T191" s="12">
        <f ca="1"/>
        <v>-2.7275826798499603E-3</v>
      </c>
      <c r="U191" s="12">
        <f ca="1"/>
        <v>2.3006860036349774E-3</v>
      </c>
      <c r="V191" s="12">
        <f ca="1"/>
        <v>4.5806024007658985E-2</v>
      </c>
      <c r="W191" s="12">
        <f ca="1"/>
        <v>-1.0956175298804882E-2</v>
      </c>
      <c r="X191" s="12">
        <f ca="1"/>
        <v>-1.854392115023118E-2</v>
      </c>
      <c r="Y191" s="12">
        <f ca="1"/>
        <v>-9.7847358121331274E-3</v>
      </c>
      <c r="Z191" s="12">
        <f ca="1"/>
        <v>5.6842299529390017E-2</v>
      </c>
    </row>
    <row r="192" spans="1:26" x14ac:dyDescent="0.2">
      <c r="A192" vm="3033">
        <f ca="1"/>
        <v>46238</v>
      </c>
      <c r="B192" s="13">
        <f ca="1"/>
        <v>1.0109196340203533E-2</v>
      </c>
      <c r="C192" s="66">
        <f t="shared" ca="1" si="11"/>
        <v>1.1991862149213692</v>
      </c>
      <c r="D192" s="66">
        <f t="shared" ca="1" si="12"/>
        <v>1.1991862149213692</v>
      </c>
      <c r="E192" s="13">
        <f t="shared" ca="1" si="10"/>
        <v>0</v>
      </c>
      <c r="F192" s="13">
        <f ca="1"/>
        <v>1.8028957197724793E-2</v>
      </c>
      <c r="G192" s="67">
        <f t="shared" ca="1" si="13"/>
        <v>1.1221140837079386</v>
      </c>
      <c r="H192" s="13">
        <f ca="1"/>
        <v>3.3968031768251805E-2</v>
      </c>
      <c r="I192" s="67">
        <f t="shared" ca="1" si="14"/>
        <v>1.1385406672224234</v>
      </c>
      <c r="J192" s="12">
        <f ca="1"/>
        <v>7.7321663489677839E-3</v>
      </c>
      <c r="K192" s="12">
        <f ca="1"/>
        <v>7.1595149253731449E-2</v>
      </c>
      <c r="L192" s="12">
        <f ca="1"/>
        <v>2.6154723436609073E-2</v>
      </c>
      <c r="M192" s="12">
        <f ca="1"/>
        <v>-1.687372519933239E-2</v>
      </c>
      <c r="N192" s="12">
        <f ca="1"/>
        <v>-3.4538337554684828E-3</v>
      </c>
      <c r="O192" s="12">
        <f ca="1"/>
        <v>2.4249422632794282E-2</v>
      </c>
      <c r="P192" s="12">
        <f ca="1"/>
        <v>7.5873904796315284E-3</v>
      </c>
      <c r="Q192" s="12">
        <f ca="1"/>
        <v>1.0581359581667282E-2</v>
      </c>
      <c r="R192" s="12">
        <f ca="1"/>
        <v>1.9642739437083945E-2</v>
      </c>
      <c r="S192" s="12">
        <f ca="1"/>
        <v>6.6109170639675696E-2</v>
      </c>
      <c r="T192" s="12">
        <f ca="1"/>
        <v>1.0028490028489934E-2</v>
      </c>
      <c r="U192" s="12">
        <f ca="1"/>
        <v>-6.5298507462686617E-3</v>
      </c>
      <c r="V192" s="12">
        <f ca="1"/>
        <v>-2.3237800154918498E-2</v>
      </c>
      <c r="W192" s="12">
        <f ca="1"/>
        <v>-1.0238335011748867E-2</v>
      </c>
      <c r="X192" s="12">
        <f ca="1"/>
        <v>-1.4390723677399353E-2</v>
      </c>
      <c r="Y192" s="12">
        <f ca="1"/>
        <v>-1.3614404918752654E-2</v>
      </c>
      <c r="Z192" s="12">
        <f ca="1"/>
        <v>9.4298437090718501E-2</v>
      </c>
    </row>
    <row r="193" spans="1:26" x14ac:dyDescent="0.2">
      <c r="A193" vm="3049">
        <f ca="1"/>
        <v>46239</v>
      </c>
      <c r="B193" s="13">
        <f ca="1"/>
        <v>-9.7839965936085231E-3</v>
      </c>
      <c r="C193" s="66">
        <f t="shared" ca="1" si="11"/>
        <v>1.1874533810794763</v>
      </c>
      <c r="D193" s="66">
        <f t="shared" ca="1" si="12"/>
        <v>1.1991862149213692</v>
      </c>
      <c r="E193" s="13">
        <f t="shared" ca="1" si="10"/>
        <v>-9.7839965936084954E-3</v>
      </c>
      <c r="F193" s="13">
        <f ca="1"/>
        <v>-1.9965514111989213E-3</v>
      </c>
      <c r="G193" s="67">
        <f t="shared" ca="1" si="13"/>
        <v>1.1198737252505853</v>
      </c>
      <c r="H193" s="13">
        <f ca="1"/>
        <v>-9.0488360848243188E-3</v>
      </c>
      <c r="I193" s="67">
        <f t="shared" ca="1" si="14"/>
        <v>1.1282381993488213</v>
      </c>
      <c r="J193" s="12">
        <f ca="1"/>
        <v>-4.0548821100306442E-2</v>
      </c>
      <c r="K193" s="12">
        <f ca="1"/>
        <v>-2.1871599564744382E-2</v>
      </c>
      <c r="L193" s="12">
        <f ca="1"/>
        <v>2.9674360019264157E-2</v>
      </c>
      <c r="M193" s="12">
        <f ca="1"/>
        <v>-3.1686156167483936E-2</v>
      </c>
      <c r="N193" s="12">
        <f ca="1"/>
        <v>3.1192236598891476E-3</v>
      </c>
      <c r="O193" s="12">
        <f ca="1"/>
        <v>3.8331454340473803E-2</v>
      </c>
      <c r="P193" s="12">
        <f ca="1"/>
        <v>7.0820259973107813E-3</v>
      </c>
      <c r="Q193" s="12">
        <f ca="1"/>
        <v>-1.0856110874373548E-2</v>
      </c>
      <c r="R193" s="12">
        <f ca="1"/>
        <v>5.2362790096320833E-3</v>
      </c>
      <c r="S193" s="12">
        <f ca="1"/>
        <v>2.8697149416467838E-4</v>
      </c>
      <c r="T193" s="12">
        <f ca="1"/>
        <v>1.2411147466997452E-3</v>
      </c>
      <c r="U193" s="12">
        <f ca="1"/>
        <v>-6.1824128290340896E-3</v>
      </c>
      <c r="V193" s="12">
        <f ca="1"/>
        <v>-1.7194146060125592E-2</v>
      </c>
      <c r="W193" s="12">
        <f ca="1"/>
        <v>-2.4588773952857301E-2</v>
      </c>
      <c r="X193" s="12">
        <f ca="1"/>
        <v>-2.0955882352941213E-2</v>
      </c>
      <c r="Y193" s="12">
        <f ca="1"/>
        <v>-2.315227070347281E-2</v>
      </c>
      <c r="Z193" s="12">
        <f ca="1"/>
        <v>-0.13612064150642311</v>
      </c>
    </row>
    <row r="194" spans="1:26" x14ac:dyDescent="0.2">
      <c r="A194" vm="3065">
        <f ca="1"/>
        <v>46240</v>
      </c>
      <c r="B194" s="13">
        <f ca="1"/>
        <v>4.2328573879525291E-3</v>
      </c>
      <c r="C194" s="66">
        <f t="shared" ca="1" si="11"/>
        <v>1.1924797018964277</v>
      </c>
      <c r="D194" s="66">
        <f t="shared" ca="1" si="12"/>
        <v>1.1991862149213692</v>
      </c>
      <c r="E194" s="13">
        <f t="shared" ca="1" si="10"/>
        <v>-5.5925534679209642E-3</v>
      </c>
      <c r="F194" s="13">
        <f ca="1"/>
        <v>-1.5978383715039568E-3</v>
      </c>
      <c r="G194" s="67">
        <f t="shared" ca="1" si="13"/>
        <v>1.1180843480411409</v>
      </c>
      <c r="H194" s="13">
        <f ca="1"/>
        <v>-3.694409591523784E-3</v>
      </c>
      <c r="I194" s="67">
        <f t="shared" ca="1" si="14"/>
        <v>1.1240700253236235</v>
      </c>
      <c r="J194" s="12">
        <f ca="1"/>
        <v>-9.74648043761972E-3</v>
      </c>
      <c r="K194" s="12">
        <f ca="1"/>
        <v>-5.0728668372455266E-2</v>
      </c>
      <c r="L194" s="12">
        <f ca="1"/>
        <v>-9.9661797510253169E-3</v>
      </c>
      <c r="M194" s="12">
        <f ca="1"/>
        <v>-1.1686793922867089E-3</v>
      </c>
      <c r="N194" s="12">
        <f ca="1"/>
        <v>2.3033513762515945E-4</v>
      </c>
      <c r="O194" s="12">
        <f ca="1"/>
        <v>-1.0857763300762269E-3</v>
      </c>
      <c r="P194" s="12">
        <f ca="1"/>
        <v>-2.4034181947659716E-3</v>
      </c>
      <c r="Q194" s="12">
        <f ca="1"/>
        <v>2.5437984655151347E-2</v>
      </c>
      <c r="R194" s="12">
        <f ca="1"/>
        <v>4.5337620578778104E-3</v>
      </c>
      <c r="S194" s="12">
        <f ca="1"/>
        <v>5.4628478531129065E-3</v>
      </c>
      <c r="T194" s="12">
        <f ca="1"/>
        <v>-3.0651340996168619E-2</v>
      </c>
      <c r="U194" s="12">
        <f ca="1"/>
        <v>7.6009299461776703E-3</v>
      </c>
      <c r="V194" s="12">
        <f ca="1"/>
        <v>-1.4304052814964052E-3</v>
      </c>
      <c r="W194" s="12">
        <f ca="1"/>
        <v>1.4951321279554897E-2</v>
      </c>
      <c r="X194" s="12">
        <f ca="1"/>
        <v>1.5127943779840169E-2</v>
      </c>
      <c r="Y194" s="12">
        <f ca="1"/>
        <v>2.0966271649954349E-2</v>
      </c>
      <c r="Z194" s="12">
        <f ca="1"/>
        <v>6.142052276715626E-2</v>
      </c>
    </row>
    <row r="195" spans="1:26" x14ac:dyDescent="0.2">
      <c r="A195" vm="3081">
        <f ca="1"/>
        <v>46241</v>
      </c>
      <c r="B195" s="13">
        <f ca="1"/>
        <v>8.9387971296838488E-3</v>
      </c>
      <c r="C195" s="66">
        <f t="shared" ca="1" si="11"/>
        <v>1.2031390360329459</v>
      </c>
      <c r="D195" s="66">
        <f t="shared" ca="1" si="12"/>
        <v>1.2031390360329459</v>
      </c>
      <c r="E195" s="13">
        <f t="shared" ref="E195:E250" ca="1" si="15">(C195-D195)/D195</f>
        <v>0</v>
      </c>
      <c r="F195" s="13">
        <f ca="1"/>
        <v>6.1153325700011862E-3</v>
      </c>
      <c r="G195" s="67">
        <f t="shared" ca="1" si="13"/>
        <v>1.1249218056707253</v>
      </c>
      <c r="H195" s="13">
        <f ca="1"/>
        <v>1.1726019729937809E-2</v>
      </c>
      <c r="I195" s="67">
        <f t="shared" ca="1" si="14"/>
        <v>1.1372508926184</v>
      </c>
      <c r="J195" s="12">
        <f ca="1"/>
        <v>-8.8329314115864754E-3</v>
      </c>
      <c r="K195" s="12">
        <f ca="1"/>
        <v>6.2580569553498222E-2</v>
      </c>
      <c r="L195" s="12">
        <f ca="1"/>
        <v>-1.0066504342770011E-2</v>
      </c>
      <c r="M195" s="12">
        <f ca="1"/>
        <v>1.1407956318252754E-2</v>
      </c>
      <c r="N195" s="12">
        <f ca="1"/>
        <v>2.3028209556708035E-3</v>
      </c>
      <c r="O195" s="12">
        <f ca="1"/>
        <v>3.6956521739130332E-2</v>
      </c>
      <c r="P195" s="12">
        <f ca="1"/>
        <v>-1.9630588025341122E-3</v>
      </c>
      <c r="Q195" s="12">
        <f ca="1"/>
        <v>2.6007282038964519E-4</v>
      </c>
      <c r="R195" s="12">
        <f ca="1"/>
        <v>2.9448481162572815E-3</v>
      </c>
      <c r="S195" s="12">
        <f ca="1"/>
        <v>1.7107938130847877E-2</v>
      </c>
      <c r="T195" s="12">
        <f ca="1"/>
        <v>2.104161822831907E-2</v>
      </c>
      <c r="U195" s="12">
        <f ca="1"/>
        <v>-1.4012537533582003E-3</v>
      </c>
      <c r="V195" s="12">
        <f ca="1"/>
        <v>8.1539704694042481E-3</v>
      </c>
      <c r="W195" s="12">
        <f ca="1"/>
        <v>7.2798903734154763E-3</v>
      </c>
      <c r="X195" s="12">
        <f ca="1"/>
        <v>-1.4109813454526221E-2</v>
      </c>
      <c r="Y195" s="12">
        <f ca="1"/>
        <v>-1.2276785714285698E-2</v>
      </c>
      <c r="Z195" s="12">
        <f ca="1"/>
        <v>0.15828402366863914</v>
      </c>
    </row>
    <row r="196" spans="1:26" x14ac:dyDescent="0.2">
      <c r="A196" vm="3098">
        <f ca="1"/>
        <v>46244</v>
      </c>
      <c r="B196" s="13">
        <f ca="1"/>
        <v>2.7269351410642803E-3</v>
      </c>
      <c r="C196" s="66">
        <f t="shared" ref="C196:C251" ca="1" si="16">C195 * (1 + B196)</f>
        <v>1.2064199181498905</v>
      </c>
      <c r="D196" s="66">
        <f t="shared" ref="D196:D251" ca="1" si="17">MAX(D195,C196)</f>
        <v>1.2064199181498905</v>
      </c>
      <c r="E196" s="13">
        <f t="shared" ca="1" si="15"/>
        <v>0</v>
      </c>
      <c r="F196" s="13">
        <f ca="1"/>
        <v>-2.9744199881021061E-4</v>
      </c>
      <c r="G196" s="67">
        <f t="shared" ref="G196:G251" ca="1" si="18">G195*(1+F196)</f>
        <v>1.1245872066803415</v>
      </c>
      <c r="H196" s="13">
        <f ca="1"/>
        <v>-2.9874279075556842E-3</v>
      </c>
      <c r="I196" s="67">
        <f t="shared" ref="I196:I251" ca="1" si="19">I195*(1+H196)</f>
        <v>1.1338534375638991</v>
      </c>
      <c r="J196" s="12">
        <f ca="1"/>
        <v>6.7049537443062412E-3</v>
      </c>
      <c r="K196" s="12">
        <f ca="1"/>
        <v>-2.7351935590603338E-2</v>
      </c>
      <c r="L196" s="12">
        <f ca="1"/>
        <v>-8.4434654919234298E-3</v>
      </c>
      <c r="M196" s="12">
        <f ca="1"/>
        <v>-3.9525691699605625E-3</v>
      </c>
      <c r="N196" s="12">
        <f ca="1"/>
        <v>-2.0677771395748445E-3</v>
      </c>
      <c r="O196" s="12">
        <f ca="1"/>
        <v>-4.7169811320754595E-2</v>
      </c>
      <c r="P196" s="12">
        <f ca="1"/>
        <v>7.2418417523469891E-3</v>
      </c>
      <c r="Q196" s="12">
        <f ca="1"/>
        <v>1.2140242804856038E-2</v>
      </c>
      <c r="R196" s="12">
        <f ca="1"/>
        <v>-1.6181023202374467E-2</v>
      </c>
      <c r="S196" s="12">
        <f ca="1"/>
        <v>-1.2530390873387032E-2</v>
      </c>
      <c r="T196" s="12">
        <f ca="1"/>
        <v>3.222133667311855E-2</v>
      </c>
      <c r="U196" s="12">
        <f ca="1"/>
        <v>5.2014095503365443E-3</v>
      </c>
      <c r="V196" s="12">
        <f ca="1"/>
        <v>1.3152142232585096E-2</v>
      </c>
      <c r="W196" s="12">
        <f ca="1"/>
        <v>4.608451662273616E-2</v>
      </c>
      <c r="X196" s="12">
        <f ca="1"/>
        <v>4.4757718696397886E-2</v>
      </c>
      <c r="Y196" s="12">
        <f ca="1"/>
        <v>1.6384180790960379E-2</v>
      </c>
      <c r="Z196" s="12">
        <f ca="1"/>
        <v>4.2295845541281629E-2</v>
      </c>
    </row>
    <row r="197" spans="1:26" x14ac:dyDescent="0.2">
      <c r="A197" vm="3113">
        <f ca="1"/>
        <v>46245</v>
      </c>
      <c r="B197" s="13">
        <f ca="1"/>
        <v>-3.9883893147995234E-3</v>
      </c>
      <c r="C197" s="66">
        <f t="shared" ca="1" si="16"/>
        <v>1.2016082458391801</v>
      </c>
      <c r="D197" s="66">
        <f t="shared" ca="1" si="17"/>
        <v>1.2064199181498905</v>
      </c>
      <c r="E197" s="13">
        <f t="shared" ca="1" si="15"/>
        <v>-3.9883893147995208E-3</v>
      </c>
      <c r="F197" s="13">
        <f ca="1"/>
        <v>-3.1952188142763127E-3</v>
      </c>
      <c r="G197" s="67">
        <f t="shared" ca="1" si="18"/>
        <v>1.1209939044792621</v>
      </c>
      <c r="H197" s="13">
        <f ca="1"/>
        <v>-3.3570546700514292E-3</v>
      </c>
      <c r="I197" s="67">
        <f t="shared" ca="1" si="19"/>
        <v>1.1300470295861713</v>
      </c>
      <c r="J197" s="12">
        <f ca="1"/>
        <v>-3.6083633093525136E-2</v>
      </c>
      <c r="K197" s="12">
        <f ca="1"/>
        <v>2.4152398231091832E-2</v>
      </c>
      <c r="L197" s="12">
        <f ca="1"/>
        <v>4.3354313217326856E-2</v>
      </c>
      <c r="M197" s="12">
        <f ca="1"/>
        <v>-1.0646535036779037E-3</v>
      </c>
      <c r="N197" s="12">
        <f ca="1"/>
        <v>-4.4894670196845565E-3</v>
      </c>
      <c r="O197" s="12">
        <f ca="1"/>
        <v>-1.1001100110010764E-3</v>
      </c>
      <c r="P197" s="12">
        <f ca="1"/>
        <v>5.3257589206463507E-3</v>
      </c>
      <c r="Q197" s="12">
        <f ca="1"/>
        <v>-4.4461131091174666E-3</v>
      </c>
      <c r="R197" s="12">
        <f ca="1"/>
        <v>-1.0867449555569841E-2</v>
      </c>
      <c r="S197" s="12">
        <f ca="1"/>
        <v>-1.4962121212121149E-2</v>
      </c>
      <c r="T197" s="12">
        <f ca="1"/>
        <v>-9.7065960732406475E-3</v>
      </c>
      <c r="U197" s="12">
        <f ca="1"/>
        <v>-8.8480713723431137E-3</v>
      </c>
      <c r="V197" s="12">
        <f ca="1"/>
        <v>-2.0928476392534812E-2</v>
      </c>
      <c r="W197" s="12">
        <f ca="1"/>
        <v>2.3490205640900541E-2</v>
      </c>
      <c r="X197" s="12">
        <f ca="1"/>
        <v>8.978502898773888E-3</v>
      </c>
      <c r="Y197" s="12">
        <f ca="1"/>
        <v>6.1145080600333301E-3</v>
      </c>
      <c r="Z197" s="12">
        <f ca="1"/>
        <v>-3.9282110422372951E-2</v>
      </c>
    </row>
    <row r="198" spans="1:26" x14ac:dyDescent="0.2">
      <c r="A198" vm="3130">
        <f ca="1"/>
        <v>46246</v>
      </c>
      <c r="B198" s="13">
        <f ca="1"/>
        <v>7.0720245064035828E-3</v>
      </c>
      <c r="C198" s="66">
        <f t="shared" ca="1" si="16"/>
        <v>1.2101060488008515</v>
      </c>
      <c r="D198" s="66">
        <f t="shared" ca="1" si="17"/>
        <v>1.2101060488008515</v>
      </c>
      <c r="E198" s="13">
        <f t="shared" ca="1" si="15"/>
        <v>0</v>
      </c>
      <c r="F198" s="13">
        <f ca="1"/>
        <v>2.5046719269103956E-3</v>
      </c>
      <c r="G198" s="67">
        <f t="shared" ca="1" si="18"/>
        <v>1.123801626442049</v>
      </c>
      <c r="H198" s="13">
        <f ca="1"/>
        <v>7.3073978704154552E-3</v>
      </c>
      <c r="I198" s="67">
        <f t="shared" ca="1" si="19"/>
        <v>1.1383047328436386</v>
      </c>
      <c r="J198" s="12">
        <f ca="1"/>
        <v>-1.836734693877573E-3</v>
      </c>
      <c r="K198" s="12">
        <f ca="1"/>
        <v>0.19275907883082377</v>
      </c>
      <c r="L198" s="12">
        <f ca="1"/>
        <v>2.3242610269330388E-2</v>
      </c>
      <c r="M198" s="12">
        <f ca="1"/>
        <v>8.8169750993121188E-3</v>
      </c>
      <c r="N198" s="12">
        <f ca="1"/>
        <v>2.6595744680850686E-3</v>
      </c>
      <c r="O198" s="12">
        <f ca="1"/>
        <v>2.8634361233480066E-2</v>
      </c>
      <c r="P198" s="12">
        <f ca="1"/>
        <v>2.4280416740243727E-2</v>
      </c>
      <c r="Q198" s="12">
        <f ca="1"/>
        <v>-2.258788035171988E-2</v>
      </c>
      <c r="R198" s="12">
        <f ca="1"/>
        <v>-8.7238857367748501E-3</v>
      </c>
      <c r="S198" s="12">
        <f ca="1"/>
        <v>-7.210151893854988E-5</v>
      </c>
      <c r="T198" s="12">
        <f ca="1"/>
        <v>2.0940075740699449E-2</v>
      </c>
      <c r="U198" s="12">
        <f ca="1"/>
        <v>5.5648508980006284E-3</v>
      </c>
      <c r="V198" s="12">
        <f ca="1"/>
        <v>-1.8327395599955998E-2</v>
      </c>
      <c r="W198" s="12">
        <f ca="1"/>
        <v>1.0959339263024059E-2</v>
      </c>
      <c r="X198" s="12">
        <f ca="1"/>
        <v>-3.0509508796905394E-4</v>
      </c>
      <c r="Y198" s="12">
        <f ca="1"/>
        <v>-4.7513812154696966E-3</v>
      </c>
      <c r="Z198" s="12">
        <f ca="1"/>
        <v>9.6481356440843324E-2</v>
      </c>
    </row>
    <row r="199" spans="1:26" x14ac:dyDescent="0.2">
      <c r="A199" vm="3147">
        <f ca="1"/>
        <v>46247</v>
      </c>
      <c r="B199" s="13">
        <f ca="1"/>
        <v>1.8805977450533562E-3</v>
      </c>
      <c r="C199" s="66">
        <f t="shared" ca="1" si="16"/>
        <v>1.2123817715075018</v>
      </c>
      <c r="D199" s="66">
        <f t="shared" ca="1" si="17"/>
        <v>1.2123817715075018</v>
      </c>
      <c r="E199" s="13">
        <f t="shared" ca="1" si="15"/>
        <v>0</v>
      </c>
      <c r="F199" s="13">
        <f ca="1"/>
        <v>6.9774366011210454E-3</v>
      </c>
      <c r="G199" s="67">
        <f t="shared" ca="1" si="18"/>
        <v>1.131642881042785</v>
      </c>
      <c r="H199" s="13">
        <f ca="1"/>
        <v>1.156556584219981E-2</v>
      </c>
      <c r="I199" s="67">
        <f t="shared" ca="1" si="19"/>
        <v>1.1514698711798295</v>
      </c>
      <c r="J199" s="12">
        <f ca="1"/>
        <v>4.5856821567309414E-3</v>
      </c>
      <c r="K199" s="12">
        <f ca="1"/>
        <v>-1.3366750208855471E-2</v>
      </c>
      <c r="L199" s="12">
        <f ca="1"/>
        <v>-4.4735746982939029E-3</v>
      </c>
      <c r="M199" s="12">
        <f ca="1"/>
        <v>-6.7230119093364404E-4</v>
      </c>
      <c r="N199" s="12">
        <f ca="1"/>
        <v>8.1882135855151361E-3</v>
      </c>
      <c r="O199" s="12">
        <f ca="1"/>
        <v>8.565310492505418E-3</v>
      </c>
      <c r="P199" s="12">
        <f ca="1"/>
        <v>-2.4997845013361442E-3</v>
      </c>
      <c r="Q199" s="12">
        <f ca="1"/>
        <v>9.0368174156731929E-3</v>
      </c>
      <c r="R199" s="12">
        <f ca="1"/>
        <v>9.9586435070306845E-3</v>
      </c>
      <c r="S199" s="12">
        <f ca="1"/>
        <v>4.254296358610743E-3</v>
      </c>
      <c r="T199" s="12">
        <f ca="1"/>
        <v>-2.6183722452541858E-3</v>
      </c>
      <c r="U199" s="12">
        <f ca="1"/>
        <v>1.2926835689650584E-2</v>
      </c>
      <c r="V199" s="12">
        <f ca="1"/>
        <v>-8.043998802753527E-3</v>
      </c>
      <c r="W199" s="12">
        <f ca="1"/>
        <v>-2.1838177533385683E-2</v>
      </c>
      <c r="X199" s="12">
        <f ca="1"/>
        <v>5.5951169888097674E-3</v>
      </c>
      <c r="Y199" s="12">
        <f ca="1"/>
        <v>-1.665371377817193E-3</v>
      </c>
      <c r="Z199" s="12">
        <f ca="1"/>
        <v>-3.3253506671228283E-2</v>
      </c>
    </row>
    <row r="200" spans="1:26" x14ac:dyDescent="0.2">
      <c r="A200" vm="3163">
        <f ca="1"/>
        <v>46248</v>
      </c>
      <c r="B200" s="13">
        <f ca="1"/>
        <v>8.8211107650752177E-4</v>
      </c>
      <c r="C200" s="66">
        <f t="shared" ca="1" si="16"/>
        <v>1.2134512268971045</v>
      </c>
      <c r="D200" s="66">
        <f t="shared" ca="1" si="17"/>
        <v>1.2134512268971045</v>
      </c>
      <c r="E200" s="13">
        <f t="shared" ca="1" si="15"/>
        <v>0</v>
      </c>
      <c r="F200" s="13">
        <f ca="1"/>
        <v>-1.9797398056254911E-3</v>
      </c>
      <c r="G200" s="67">
        <f t="shared" ca="1" si="18"/>
        <v>1.1294025225854318</v>
      </c>
      <c r="H200" s="13">
        <f ca="1"/>
        <v>-1.3659895911593001E-3</v>
      </c>
      <c r="I200" s="67">
        <f t="shared" ca="1" si="19"/>
        <v>1.1498969753212642</v>
      </c>
      <c r="J200" s="12">
        <f ca="1"/>
        <v>-1.1629935453857376E-3</v>
      </c>
      <c r="K200" s="12">
        <f ca="1"/>
        <v>-9.6904694703170424E-3</v>
      </c>
      <c r="L200" s="12">
        <f ca="1"/>
        <v>2.3583098199045471E-2</v>
      </c>
      <c r="M200" s="12">
        <f ca="1"/>
        <v>-2.4987986544929841E-3</v>
      </c>
      <c r="N200" s="12">
        <f ca="1"/>
        <v>3.3173186913748598E-3</v>
      </c>
      <c r="O200" s="12">
        <f ca="1"/>
        <v>3.3970276008492561E-2</v>
      </c>
      <c r="P200" s="12">
        <f ca="1"/>
        <v>-3.8886968544763478E-3</v>
      </c>
      <c r="Q200" s="12">
        <f ca="1"/>
        <v>-2.9785863790050549E-3</v>
      </c>
      <c r="R200" s="12">
        <f ca="1"/>
        <v>2.1948502915547508E-3</v>
      </c>
      <c r="S200" s="12">
        <f ca="1"/>
        <v>-5.9427504667081466E-2</v>
      </c>
      <c r="T200" s="12">
        <f ca="1"/>
        <v>7.0006563115292408E-3</v>
      </c>
      <c r="U200" s="12">
        <f ca="1"/>
        <v>-7.7974736185471016E-4</v>
      </c>
      <c r="V200" s="12">
        <f ca="1"/>
        <v>-9.3539018594652745E-3</v>
      </c>
      <c r="W200" s="12">
        <f ca="1"/>
        <v>1.8149694828140106E-2</v>
      </c>
      <c r="X200" s="12">
        <f ca="1"/>
        <v>1.163378856853825E-2</v>
      </c>
      <c r="Y200" s="12">
        <f ca="1"/>
        <v>6.1165480427045615E-3</v>
      </c>
      <c r="Z200" s="12">
        <f ca="1"/>
        <v>-9.1301578314104681E-3</v>
      </c>
    </row>
    <row r="201" spans="1:26" x14ac:dyDescent="0.2">
      <c r="A201" vm="3180">
        <f ca="1"/>
        <v>46251</v>
      </c>
      <c r="B201" s="13">
        <f ca="1"/>
        <v>-2.8007495107756882E-3</v>
      </c>
      <c r="C201" s="66">
        <f t="shared" ca="1" si="16"/>
        <v>1.2100526539670222</v>
      </c>
      <c r="D201" s="66">
        <f t="shared" ca="1" si="17"/>
        <v>1.2134512268971045</v>
      </c>
      <c r="E201" s="13">
        <f t="shared" ca="1" si="15"/>
        <v>-2.8007495107757324E-3</v>
      </c>
      <c r="F201" s="13">
        <f ca="1"/>
        <v>-4.7273101991396338E-3</v>
      </c>
      <c r="G201" s="67">
        <f t="shared" ca="1" si="18"/>
        <v>1.1240634865214796</v>
      </c>
      <c r="H201" s="13">
        <f ca="1"/>
        <v>-1.6414296852559351E-3</v>
      </c>
      <c r="I201" s="67">
        <f t="shared" ca="1" si="19"/>
        <v>1.1480095002909858</v>
      </c>
      <c r="J201" s="12">
        <f ca="1"/>
        <v>-6.0837165977761787E-3</v>
      </c>
      <c r="K201" s="12">
        <f ca="1"/>
        <v>7.0302109063271612E-3</v>
      </c>
      <c r="L201" s="12">
        <f ca="1"/>
        <v>-4.7985298121425712E-3</v>
      </c>
      <c r="M201" s="12">
        <f ca="1"/>
        <v>9.6348395799195075E-5</v>
      </c>
      <c r="N201" s="12">
        <f ca="1"/>
        <v>-8.3228822255158041E-3</v>
      </c>
      <c r="O201" s="12">
        <f ca="1"/>
        <v>0</v>
      </c>
      <c r="P201" s="12">
        <f ca="1"/>
        <v>-8.1547670686215046E-3</v>
      </c>
      <c r="Q201" s="12">
        <f ca="1"/>
        <v>-3.037949132014528E-2</v>
      </c>
      <c r="R201" s="12">
        <f ca="1"/>
        <v>-1.1113653450136596E-3</v>
      </c>
      <c r="S201" s="12">
        <f ca="1"/>
        <v>-1.4249726456143641E-3</v>
      </c>
      <c r="T201" s="12">
        <f ca="1"/>
        <v>2.4657831848794221E-2</v>
      </c>
      <c r="U201" s="12">
        <f ca="1"/>
        <v>-7.9076058682759909E-3</v>
      </c>
      <c r="V201" s="12">
        <f ca="1"/>
        <v>-5.1018465638681398E-3</v>
      </c>
      <c r="W201" s="12">
        <f ca="1"/>
        <v>6.1523899668718407E-3</v>
      </c>
      <c r="X201" s="12">
        <f ca="1"/>
        <v>1.3499999999999845E-2</v>
      </c>
      <c r="Y201" s="12">
        <f ca="1"/>
        <v>1.2711396042887291E-2</v>
      </c>
      <c r="Z201" s="12">
        <f ca="1"/>
        <v>4.4499999999999984E-2</v>
      </c>
    </row>
    <row r="202" spans="1:26" x14ac:dyDescent="0.2">
      <c r="A202" vm="3196">
        <f ca="1"/>
        <v>46252</v>
      </c>
      <c r="B202" s="13">
        <f ca="1"/>
        <v>-4.8044825096146869E-3</v>
      </c>
      <c r="C202" s="66">
        <f t="shared" ca="1" si="16"/>
        <v>1.2042389771553248</v>
      </c>
      <c r="D202" s="66">
        <f t="shared" ca="1" si="17"/>
        <v>1.2134512268971045</v>
      </c>
      <c r="E202" s="13">
        <f t="shared" ca="1" si="15"/>
        <v>-7.5917758683521101E-3</v>
      </c>
      <c r="F202" s="13">
        <f ca="1"/>
        <v>-6.7557948412645397E-3</v>
      </c>
      <c r="G202" s="67">
        <f t="shared" ca="1" si="18"/>
        <v>1.1164695442179839</v>
      </c>
      <c r="H202" s="13">
        <f ca="1"/>
        <v>-1.6934522586213974E-2</v>
      </c>
      <c r="I202" s="67">
        <f t="shared" ca="1" si="19"/>
        <v>1.1285685074791199</v>
      </c>
      <c r="J202" s="12">
        <f ca="1"/>
        <v>-4.9787670229906045E-4</v>
      </c>
      <c r="K202" s="12">
        <f ca="1"/>
        <v>-0.12103773584905664</v>
      </c>
      <c r="L202" s="12">
        <f ca="1"/>
        <v>-6.8016277399719494E-2</v>
      </c>
      <c r="M202" s="12">
        <f ca="1"/>
        <v>-5.9730250481694336E-3</v>
      </c>
      <c r="N202" s="12">
        <f ca="1"/>
        <v>2.1154288342147387E-2</v>
      </c>
      <c r="O202" s="12">
        <f ca="1"/>
        <v>0</v>
      </c>
      <c r="P202" s="12">
        <f ca="1"/>
        <v>7.6095512988716418E-3</v>
      </c>
      <c r="Q202" s="12">
        <f ca="1"/>
        <v>2.6647236390131557E-3</v>
      </c>
      <c r="R202" s="12">
        <f ca="1"/>
        <v>1.4529271245786735E-2</v>
      </c>
      <c r="S202" s="12">
        <f ca="1"/>
        <v>-3.1674438753408252E-2</v>
      </c>
      <c r="T202" s="12">
        <f ca="1"/>
        <v>-3.9966076539806994E-2</v>
      </c>
      <c r="U202" s="12">
        <f ca="1"/>
        <v>8.2328264289459607E-3</v>
      </c>
      <c r="V202" s="12">
        <f ca="1"/>
        <v>-7.1179824729249441E-3</v>
      </c>
      <c r="W202" s="12">
        <f ca="1"/>
        <v>1.6933207902163572E-2</v>
      </c>
      <c r="X202" s="12">
        <f ca="1"/>
        <v>1.4997533300444177E-2</v>
      </c>
      <c r="Y202" s="12">
        <f ca="1"/>
        <v>4.2567125081860446E-3</v>
      </c>
      <c r="Z202" s="12">
        <f ca="1"/>
        <v>-1.9763386446009612E-2</v>
      </c>
    </row>
    <row r="203" spans="1:26" x14ac:dyDescent="0.2">
      <c r="A203" vm="3212">
        <f ca="1"/>
        <v>46253</v>
      </c>
      <c r="B203" s="13">
        <f ca="1"/>
        <v>-1.2507745781041848E-3</v>
      </c>
      <c r="C203" s="66">
        <f t="shared" ca="1" si="16"/>
        <v>1.2027327456567367</v>
      </c>
      <c r="D203" s="66">
        <f t="shared" ca="1" si="17"/>
        <v>1.2134512268971045</v>
      </c>
      <c r="E203" s="13">
        <f t="shared" ca="1" si="15"/>
        <v>-8.8330548461975095E-3</v>
      </c>
      <c r="F203" s="13">
        <f ca="1"/>
        <v>2.0978565378850789E-3</v>
      </c>
      <c r="G203" s="67">
        <f t="shared" ca="1" si="18"/>
        <v>1.1188117371506712</v>
      </c>
      <c r="H203" s="13">
        <f ca="1"/>
        <v>-1.9930035818315206E-3</v>
      </c>
      <c r="I203" s="67">
        <f t="shared" ca="1" si="19"/>
        <v>1.1263192664013717</v>
      </c>
      <c r="J203" s="12">
        <f ca="1"/>
        <v>1.2306610407877283E-3</v>
      </c>
      <c r="K203" s="12">
        <f ca="1"/>
        <v>-2.4686057743908973E-2</v>
      </c>
      <c r="L203" s="12">
        <f ca="1"/>
        <v>-4.2342408453804992E-2</v>
      </c>
      <c r="M203" s="12">
        <f ca="1"/>
        <v>-8.5287846481877372E-3</v>
      </c>
      <c r="N203" s="12">
        <f ca="1"/>
        <v>1.722585003377608E-2</v>
      </c>
      <c r="O203" s="12">
        <f ca="1"/>
        <v>-8.7527352297592786E-3</v>
      </c>
      <c r="P203" s="12">
        <f ca="1"/>
        <v>-7.8125E-3</v>
      </c>
      <c r="Q203" s="12">
        <f ca="1"/>
        <v>5.5644374312231459E-3</v>
      </c>
      <c r="R203" s="12">
        <f ca="1"/>
        <v>2.1933361287617359E-2</v>
      </c>
      <c r="S203" s="12">
        <f ca="1"/>
        <v>-4.6105263157894649E-2</v>
      </c>
      <c r="T203" s="12">
        <f ca="1"/>
        <v>-2.2084805653710404E-4</v>
      </c>
      <c r="U203" s="12">
        <f ca="1"/>
        <v>-4.5352889166276888E-3</v>
      </c>
      <c r="V203" s="12">
        <f ca="1"/>
        <v>2.4629022933127631E-2</v>
      </c>
      <c r="W203" s="12">
        <f ca="1"/>
        <v>6.6296638914586925E-3</v>
      </c>
      <c r="X203" s="12">
        <f ca="1"/>
        <v>9.7210070963305029E-5</v>
      </c>
      <c r="Y203" s="12">
        <f ca="1"/>
        <v>8.2599717422018326E-3</v>
      </c>
      <c r="Z203" s="12">
        <f ca="1"/>
        <v>-2.574298869820002E-2</v>
      </c>
    </row>
    <row r="204" spans="1:26" x14ac:dyDescent="0.2">
      <c r="A204" vm="3230">
        <f ca="1"/>
        <v>46254</v>
      </c>
      <c r="B204" s="13">
        <f ca="1"/>
        <v>-8.0390861668301478E-3</v>
      </c>
      <c r="C204" s="66">
        <f t="shared" ca="1" si="16"/>
        <v>1.193063873478734</v>
      </c>
      <c r="D204" s="66">
        <f t="shared" ca="1" si="17"/>
        <v>1.2134512268971045</v>
      </c>
      <c r="E204" s="13">
        <f t="shared" ca="1" si="15"/>
        <v>-1.6801131324002742E-2</v>
      </c>
      <c r="F204" s="13">
        <f ca="1"/>
        <v>-8.3998647699787821E-3</v>
      </c>
      <c r="G204" s="67">
        <f t="shared" ca="1" si="18"/>
        <v>1.1094138698555405</v>
      </c>
      <c r="H204" s="13">
        <f ca="1"/>
        <v>-7.1919338621384554E-3</v>
      </c>
      <c r="I204" s="67">
        <f t="shared" ca="1" si="19"/>
        <v>1.1182188527297607</v>
      </c>
      <c r="J204" s="12">
        <f ca="1"/>
        <v>-1.0242903131401859E-2</v>
      </c>
      <c r="K204" s="12">
        <f ca="1"/>
        <v>-1.2215252558600231E-2</v>
      </c>
      <c r="L204" s="12">
        <f ca="1"/>
        <v>1.3908045977011563E-2</v>
      </c>
      <c r="M204" s="12">
        <f ca="1"/>
        <v>2.9325513196476471E-4</v>
      </c>
      <c r="N204" s="12">
        <f ca="1"/>
        <v>1.6602102933038765E-3</v>
      </c>
      <c r="O204" s="12">
        <f ca="1"/>
        <v>2.2075055187638082E-3</v>
      </c>
      <c r="P204" s="12">
        <f ca="1"/>
        <v>-9.1513560804899363E-2</v>
      </c>
      <c r="Q204" s="12">
        <f ca="1"/>
        <v>-6.5247465466333754E-3</v>
      </c>
      <c r="R204" s="12">
        <f ca="1"/>
        <v>-1.7454155225199552E-2</v>
      </c>
      <c r="S204" s="12">
        <f ca="1"/>
        <v>4.2760979916132147E-3</v>
      </c>
      <c r="T204" s="12">
        <f ca="1"/>
        <v>-7.620941020543559E-3</v>
      </c>
      <c r="U204" s="12">
        <f ca="1"/>
        <v>-2.4535261601479674E-2</v>
      </c>
      <c r="V204" s="12">
        <f ca="1"/>
        <v>-2.1554318386999505E-2</v>
      </c>
      <c r="W204" s="12">
        <f ca="1"/>
        <v>3.3006586000918769E-2</v>
      </c>
      <c r="X204" s="12">
        <f ca="1"/>
        <v>4.8600311042035216E-5</v>
      </c>
      <c r="Y204" s="12">
        <f ca="1"/>
        <v>9.4858251589955422E-3</v>
      </c>
      <c r="Z204" s="12">
        <f ca="1"/>
        <v>-4.0458288578589352E-2</v>
      </c>
    </row>
    <row r="205" spans="1:26" x14ac:dyDescent="0.2">
      <c r="A205" vm="3246">
        <f ca="1"/>
        <v>46255</v>
      </c>
      <c r="B205" s="13">
        <f ca="1"/>
        <v>5.5147658090664541E-3</v>
      </c>
      <c r="C205" s="66">
        <f t="shared" ca="1" si="16"/>
        <v>1.1996433413362269</v>
      </c>
      <c r="D205" s="66">
        <f t="shared" ca="1" si="17"/>
        <v>1.2134512268971045</v>
      </c>
      <c r="E205" s="13">
        <f t="shared" ca="1" si="15"/>
        <v>-1.1379019819515574E-2</v>
      </c>
      <c r="F205" s="13">
        <f ca="1"/>
        <v>4.0912667191188579E-3</v>
      </c>
      <c r="G205" s="67">
        <f t="shared" ca="1" si="18"/>
        <v>1.1139527778990093</v>
      </c>
      <c r="H205" s="13">
        <f ca="1"/>
        <v>3.5305866962993537E-3</v>
      </c>
      <c r="I205" s="67">
        <f t="shared" ca="1" si="19"/>
        <v>1.1221668213347595</v>
      </c>
      <c r="J205" s="12">
        <f ca="1"/>
        <v>1.049674748669438E-2</v>
      </c>
      <c r="K205" s="12">
        <f ca="1"/>
        <v>-2.1278966131907384E-2</v>
      </c>
      <c r="L205" s="12">
        <f ca="1"/>
        <v>-1.0127347617428173E-2</v>
      </c>
      <c r="M205" s="12">
        <f ca="1"/>
        <v>1.7785595622007211E-2</v>
      </c>
      <c r="N205" s="12">
        <f ca="1"/>
        <v>6.6298342541435407E-3</v>
      </c>
      <c r="O205" s="12">
        <f ca="1"/>
        <v>1.7621145374449254E-2</v>
      </c>
      <c r="P205" s="12">
        <f ca="1"/>
        <v>-1.3482280431432736E-3</v>
      </c>
      <c r="Q205" s="12">
        <f ca="1"/>
        <v>4.3437597422841812E-3</v>
      </c>
      <c r="R205" s="12">
        <f ca="1"/>
        <v>-6.2640539672341733E-3</v>
      </c>
      <c r="S205" s="12">
        <f ca="1"/>
        <v>1.214185644040322E-2</v>
      </c>
      <c r="T205" s="12">
        <f ca="1"/>
        <v>4.4741235392320666E-2</v>
      </c>
      <c r="U205" s="12">
        <f ca="1"/>
        <v>1.5243543186468367E-2</v>
      </c>
      <c r="V205" s="12">
        <f ca="1"/>
        <v>-5.6899004267425557E-3</v>
      </c>
      <c r="W205" s="12">
        <f ca="1"/>
        <v>-1.4826895989306088E-4</v>
      </c>
      <c r="X205" s="12">
        <f ca="1"/>
        <v>-2.4298974583272237E-3</v>
      </c>
      <c r="Y205" s="12">
        <f ca="1"/>
        <v>-3.4169781099840923E-3</v>
      </c>
      <c r="Z205" s="12">
        <f ca="1"/>
        <v>2.2164179104477544E-2</v>
      </c>
    </row>
    <row r="206" spans="1:26" x14ac:dyDescent="0.2">
      <c r="A206" vm="3262">
        <f ca="1"/>
        <v>46258</v>
      </c>
      <c r="B206" s="13">
        <f ca="1"/>
        <v>-2.9409003465901704E-3</v>
      </c>
      <c r="C206" s="66">
        <f t="shared" ca="1" si="16"/>
        <v>1.1961153098179065</v>
      </c>
      <c r="D206" s="66">
        <f t="shared" ca="1" si="17"/>
        <v>1.2134512268971045</v>
      </c>
      <c r="E206" s="13">
        <f t="shared" ca="1" si="15"/>
        <v>-1.4286455602774736E-2</v>
      </c>
      <c r="F206" s="13">
        <f ca="1"/>
        <v>-2.9384109073813391E-3</v>
      </c>
      <c r="G206" s="67">
        <f t="shared" ca="1" si="18"/>
        <v>1.1106795269061231</v>
      </c>
      <c r="H206" s="13">
        <f ca="1"/>
        <v>-9.97981610226506E-3</v>
      </c>
      <c r="I206" s="67">
        <f t="shared" ca="1" si="19"/>
        <v>1.1109678028217753</v>
      </c>
      <c r="J206" s="12">
        <f ca="1"/>
        <v>8.3101682516457664E-3</v>
      </c>
      <c r="K206" s="12">
        <f ca="1"/>
        <v>-1.8212862834376731E-2</v>
      </c>
      <c r="L206" s="12">
        <f ca="1"/>
        <v>-2.6646306547050913E-2</v>
      </c>
      <c r="M206" s="12">
        <f ca="1"/>
        <v>-5.7609217474796637E-4</v>
      </c>
      <c r="N206" s="12">
        <f ca="1"/>
        <v>9.7694840834248176E-3</v>
      </c>
      <c r="O206" s="12">
        <f ca="1"/>
        <v>-4.978354978354993E-2</v>
      </c>
      <c r="P206" s="12">
        <f ca="1"/>
        <v>2.6904532304725004E-2</v>
      </c>
      <c r="Q206" s="12">
        <f ca="1"/>
        <v>8.422316033440902E-3</v>
      </c>
      <c r="R206" s="12">
        <f ca="1"/>
        <v>3.2002586067558791E-3</v>
      </c>
      <c r="S206" s="12">
        <f ca="1"/>
        <v>-2.6299362192970577E-2</v>
      </c>
      <c r="T206" s="12">
        <f ca="1"/>
        <v>-8.7354852455524545E-3</v>
      </c>
      <c r="U206" s="12">
        <f ca="1"/>
        <v>2.4964652752864636E-2</v>
      </c>
      <c r="V206" s="12">
        <f ca="1"/>
        <v>1.3300854502571235E-2</v>
      </c>
      <c r="W206" s="12">
        <f ca="1"/>
        <v>-1.1270111959664986E-2</v>
      </c>
      <c r="X206" s="12">
        <f ca="1"/>
        <v>-1.062015881521905E-2</v>
      </c>
      <c r="Y206" s="12">
        <f ca="1"/>
        <v>-3.5358405657345271E-3</v>
      </c>
      <c r="Z206" s="12">
        <f ca="1"/>
        <v>-1.4382711542673565E-2</v>
      </c>
    </row>
    <row r="207" spans="1:26" x14ac:dyDescent="0.2">
      <c r="A207" vm="3278">
        <f ca="1"/>
        <v>46259</v>
      </c>
      <c r="B207" s="13">
        <f ca="1"/>
        <v>1.4489647953399268E-3</v>
      </c>
      <c r="C207" s="66">
        <f t="shared" ca="1" si="16"/>
        <v>1.1978484387929997</v>
      </c>
      <c r="D207" s="66">
        <f t="shared" ca="1" si="17"/>
        <v>1.2134512268971045</v>
      </c>
      <c r="E207" s="13">
        <f t="shared" ca="1" si="15"/>
        <v>-1.2858191378653416E-2</v>
      </c>
      <c r="F207" s="13">
        <f ca="1"/>
        <v>3.1959343523648709E-3</v>
      </c>
      <c r="G207" s="67">
        <f t="shared" ca="1" si="18"/>
        <v>1.1142291857606308</v>
      </c>
      <c r="H207" s="13">
        <f ca="1"/>
        <v>6.2294710612753601E-3</v>
      </c>
      <c r="I207" s="67">
        <f t="shared" ca="1" si="19"/>
        <v>1.1178885445994622</v>
      </c>
      <c r="J207" s="12">
        <f ca="1"/>
        <v>-3.6274993470500894E-3</v>
      </c>
      <c r="K207" s="12">
        <f ca="1"/>
        <v>2.075362318840579E-2</v>
      </c>
      <c r="L207" s="12">
        <f ca="1"/>
        <v>3.0591834333451029E-3</v>
      </c>
      <c r="M207" s="12">
        <f ca="1"/>
        <v>2.7860505331922525E-3</v>
      </c>
      <c r="N207" s="12">
        <f ca="1"/>
        <v>-3.8047613871072805E-3</v>
      </c>
      <c r="O207" s="12">
        <f ca="1"/>
        <v>1.3667425968109548E-2</v>
      </c>
      <c r="P207" s="12">
        <f ca="1"/>
        <v>-1.0423513944971319E-2</v>
      </c>
      <c r="Q207" s="12">
        <f ca="1"/>
        <v>9.0291600829039975E-3</v>
      </c>
      <c r="R207" s="12">
        <f ca="1"/>
        <v>-1.4177998324418351E-3</v>
      </c>
      <c r="S207" s="12">
        <f ca="1"/>
        <v>-5.6305050730293127E-3</v>
      </c>
      <c r="T207" s="12">
        <f ca="1"/>
        <v>5.5239118753358518E-2</v>
      </c>
      <c r="U207" s="12">
        <f ca="1"/>
        <v>-1.1725344863084186E-2</v>
      </c>
      <c r="V207" s="12">
        <f ca="1"/>
        <v>-3.8539321555309813E-3</v>
      </c>
      <c r="W207" s="12">
        <f ca="1"/>
        <v>-1.1323584551930943E-2</v>
      </c>
      <c r="X207" s="12">
        <f ca="1"/>
        <v>-1.5756561130533364E-2</v>
      </c>
      <c r="Y207" s="12">
        <f ca="1"/>
        <v>-8.3870967741935809E-3</v>
      </c>
      <c r="Z207" s="12">
        <f ca="1"/>
        <v>2.1851851851851789E-2</v>
      </c>
    </row>
    <row r="208" spans="1:26" x14ac:dyDescent="0.2">
      <c r="A208" vm="3294">
        <f ca="1"/>
        <v>46260</v>
      </c>
      <c r="B208" s="13">
        <f ca="1"/>
        <v>-6.1805909084542083E-4</v>
      </c>
      <c r="C208" s="66">
        <f t="shared" ca="1" si="16"/>
        <v>1.1971080976759487</v>
      </c>
      <c r="D208" s="66">
        <f t="shared" ca="1" si="17"/>
        <v>1.2134512268971045</v>
      </c>
      <c r="E208" s="13">
        <f t="shared" ca="1" si="15"/>
        <v>-1.3468303347425433E-2</v>
      </c>
      <c r="F208" s="13">
        <f ca="1"/>
        <v>2.2195819352144319E-4</v>
      </c>
      <c r="G208" s="67">
        <f t="shared" ca="1" si="18"/>
        <v>1.1144764980578712</v>
      </c>
      <c r="H208" s="13">
        <f ca="1"/>
        <v>9.1456551103097361E-4</v>
      </c>
      <c r="I208" s="67">
        <f t="shared" ca="1" si="19"/>
        <v>1.1189109269075295</v>
      </c>
      <c r="J208" s="12">
        <f ca="1"/>
        <v>-1.2349274771363494E-2</v>
      </c>
      <c r="K208" s="12">
        <f ca="1"/>
        <v>-3.4075420263512957E-4</v>
      </c>
      <c r="L208" s="12">
        <f ca="1"/>
        <v>3.1515151515151496E-2</v>
      </c>
      <c r="M208" s="12">
        <f ca="1"/>
        <v>-6.9936769496070639E-3</v>
      </c>
      <c r="N208" s="12">
        <f ca="1"/>
        <v>-1.7023134002619011E-2</v>
      </c>
      <c r="O208" s="12">
        <f ca="1"/>
        <v>-1.3483146067415852E-2</v>
      </c>
      <c r="P208" s="12">
        <f ca="1"/>
        <v>-9.8690453596507188E-3</v>
      </c>
      <c r="Q208" s="12">
        <f ca="1"/>
        <v>9.4771308291472511E-3</v>
      </c>
      <c r="R208" s="12">
        <f ca="1"/>
        <v>1.1455308163923927E-2</v>
      </c>
      <c r="S208" s="12">
        <f ca="1"/>
        <v>-3.2236362617032999E-3</v>
      </c>
      <c r="T208" s="12">
        <f ca="1"/>
        <v>-1.1915673693858819E-2</v>
      </c>
      <c r="U208" s="12">
        <f ca="1"/>
        <v>-4.0520411245715815E-3</v>
      </c>
      <c r="V208" s="12">
        <f ca="1"/>
        <v>-2.9878188922087823E-3</v>
      </c>
      <c r="W208" s="12">
        <f ca="1"/>
        <v>-9.3294902912620659E-3</v>
      </c>
      <c r="X208" s="12">
        <f ca="1"/>
        <v>1.6008804842664315E-3</v>
      </c>
      <c r="Y208" s="12">
        <f ca="1"/>
        <v>-1.2036434612882285E-2</v>
      </c>
      <c r="Z208" s="12">
        <f ca="1"/>
        <v>1.2178325480246555E-2</v>
      </c>
    </row>
    <row r="209" spans="1:26" x14ac:dyDescent="0.2">
      <c r="A209" vm="3309">
        <f ca="1"/>
        <v>46261</v>
      </c>
      <c r="B209" s="13">
        <f ca="1"/>
        <v>6.9453107931663613E-3</v>
      </c>
      <c r="C209" s="66">
        <f t="shared" ca="1" si="16"/>
        <v>1.2054223854673243</v>
      </c>
      <c r="D209" s="66">
        <f t="shared" ca="1" si="17"/>
        <v>1.2134512268971045</v>
      </c>
      <c r="E209" s="13">
        <f t="shared" ca="1" si="15"/>
        <v>-6.6165341068636389E-3</v>
      </c>
      <c r="F209" s="13">
        <f ca="1"/>
        <v>6.5528404344192825E-3</v>
      </c>
      <c r="G209" s="67">
        <f t="shared" ca="1" si="18"/>
        <v>1.1217794847175548</v>
      </c>
      <c r="H209" s="13">
        <f ca="1"/>
        <v>1.3691890296189113E-2</v>
      </c>
      <c r="I209" s="67">
        <f t="shared" ca="1" si="19"/>
        <v>1.1342309325699547</v>
      </c>
      <c r="J209" s="12">
        <f ca="1"/>
        <v>-4.0990858153938659E-3</v>
      </c>
      <c r="K209" s="12">
        <f ca="1"/>
        <v>-1.3748437677536751E-2</v>
      </c>
      <c r="L209" s="12">
        <f ca="1"/>
        <v>2.0734619612599925E-2</v>
      </c>
      <c r="M209" s="12">
        <f ca="1"/>
        <v>-7.7182826821033945E-3</v>
      </c>
      <c r="N209" s="12">
        <f ca="1"/>
        <v>-1.1323268206039017E-2</v>
      </c>
      <c r="O209" s="12">
        <f ca="1"/>
        <v>8.5421412300683341E-2</v>
      </c>
      <c r="P209" s="12">
        <f ca="1"/>
        <v>-1.6388729154686699E-2</v>
      </c>
      <c r="Q209" s="12">
        <f ca="1"/>
        <v>1.750710155730606E-2</v>
      </c>
      <c r="R209" s="12">
        <f ca="1"/>
        <v>3.6050406763439291E-3</v>
      </c>
      <c r="S209" s="12">
        <f ca="1"/>
        <v>4.4855029669000901E-2</v>
      </c>
      <c r="T209" s="12">
        <f ca="1"/>
        <v>-4.844361987219159E-3</v>
      </c>
      <c r="U209" s="12">
        <f ca="1"/>
        <v>-2.2444881395640714E-2</v>
      </c>
      <c r="V209" s="12">
        <f ca="1"/>
        <v>-1.5444905486399207E-2</v>
      </c>
      <c r="W209" s="12">
        <f ca="1"/>
        <v>-8.3454559375240045E-3</v>
      </c>
      <c r="X209" s="12">
        <f ca="1"/>
        <v>-2.1976924229558659E-3</v>
      </c>
      <c r="Y209" s="12">
        <f ca="1"/>
        <v>-4.5000548787179628E-3</v>
      </c>
      <c r="Z209" s="12">
        <f ca="1"/>
        <v>8.8806130487717461E-3</v>
      </c>
    </row>
    <row r="210" spans="1:26" x14ac:dyDescent="0.2">
      <c r="A210" vm="3327">
        <f ca="1"/>
        <v>46262</v>
      </c>
      <c r="B210" s="13">
        <f ca="1"/>
        <v>3.5081544558953127E-3</v>
      </c>
      <c r="C210" s="66">
        <f t="shared" ca="1" si="16"/>
        <v>1.2096511933801373</v>
      </c>
      <c r="D210" s="66">
        <f t="shared" ca="1" si="17"/>
        <v>1.2134512268971045</v>
      </c>
      <c r="E210" s="13">
        <f t="shared" ca="1" si="15"/>
        <v>-3.1315914745780335E-3</v>
      </c>
      <c r="F210" s="13">
        <f ca="1"/>
        <v>-2.2694851510828284E-3</v>
      </c>
      <c r="G210" s="67">
        <f t="shared" ca="1" si="18"/>
        <v>1.119233622834199</v>
      </c>
      <c r="H210" s="13">
        <f ca="1"/>
        <v>-6.489994591671211E-3</v>
      </c>
      <c r="I210" s="67">
        <f t="shared" ca="1" si="19"/>
        <v>1.1268697799518694</v>
      </c>
      <c r="J210" s="12">
        <f ca="1"/>
        <v>1.5308992922921982E-2</v>
      </c>
      <c r="K210" s="12">
        <f ca="1"/>
        <v>-2.9608294930875467E-2</v>
      </c>
      <c r="L210" s="12">
        <f ca="1"/>
        <v>-4.5306001188354039E-2</v>
      </c>
      <c r="M210" s="12">
        <f ca="1"/>
        <v>6.6115702479339067E-3</v>
      </c>
      <c r="N210" s="12">
        <f ca="1"/>
        <v>6.7370312149113154E-3</v>
      </c>
      <c r="O210" s="12">
        <f ca="1"/>
        <v>-4.826862539349408E-2</v>
      </c>
      <c r="P210" s="12">
        <f ca="1"/>
        <v>4.4821202377474112E-3</v>
      </c>
      <c r="Q210" s="12">
        <f ca="1"/>
        <v>1.6770284718647277E-2</v>
      </c>
      <c r="R210" s="12">
        <f ca="1"/>
        <v>1.6275669146163185E-2</v>
      </c>
      <c r="S210" s="12">
        <f ca="1"/>
        <v>-7.4016256661463276E-3</v>
      </c>
      <c r="T210" s="12">
        <f ca="1"/>
        <v>-7.3537027446918257E-3</v>
      </c>
      <c r="U210" s="12">
        <f ca="1"/>
        <v>1.1565703036398256E-2</v>
      </c>
      <c r="V210" s="12">
        <f ca="1"/>
        <v>3.9686256146101773E-2</v>
      </c>
      <c r="W210" s="12">
        <f ca="1"/>
        <v>6.4082767140207775E-3</v>
      </c>
      <c r="X210" s="12">
        <f ca="1"/>
        <v>1.0462031336036404E-2</v>
      </c>
      <c r="Y210" s="12">
        <f ca="1"/>
        <v>2.3153252480705433E-3</v>
      </c>
      <c r="Z210" s="12">
        <f ca="1"/>
        <v>4.47220841910978E-3</v>
      </c>
    </row>
    <row r="211" spans="1:26" x14ac:dyDescent="0.2">
      <c r="A211" vm="3342">
        <f ca="1"/>
        <v>46265</v>
      </c>
      <c r="B211" s="13">
        <f ca="1"/>
        <v>-1.7278744308335794E-3</v>
      </c>
      <c r="C211" s="66">
        <f t="shared" ca="1" si="16"/>
        <v>1.2075610680128683</v>
      </c>
      <c r="D211" s="66">
        <f t="shared" ca="1" si="17"/>
        <v>1.2134512268971045</v>
      </c>
      <c r="E211" s="13">
        <f t="shared" ca="1" si="15"/>
        <v>-4.8540549085749314E-3</v>
      </c>
      <c r="F211" s="13">
        <f ca="1"/>
        <v>-2.989536621823663E-3</v>
      </c>
      <c r="G211" s="67">
        <f t="shared" ca="1" si="18"/>
        <v>1.1158876329303598</v>
      </c>
      <c r="H211" s="13">
        <f ca="1"/>
        <v>4.6061722708445885E-4</v>
      </c>
      <c r="I211" s="67">
        <f t="shared" ca="1" si="19"/>
        <v>1.1273888355851962</v>
      </c>
      <c r="J211" s="12">
        <f ca="1"/>
        <v>-2.1786047596826785E-2</v>
      </c>
      <c r="K211" s="12">
        <f ca="1"/>
        <v>7.8356879971506199E-3</v>
      </c>
      <c r="L211" s="12">
        <f ca="1"/>
        <v>6.3793371713087854E-3</v>
      </c>
      <c r="M211" s="12">
        <f ca="1"/>
        <v>-3.7670240509997122E-3</v>
      </c>
      <c r="N211" s="12">
        <f ca="1"/>
        <v>-1.1041713138523201E-2</v>
      </c>
      <c r="O211" s="12">
        <f ca="1"/>
        <v>1.2127894156560126E-2</v>
      </c>
      <c r="P211" s="12">
        <f ca="1"/>
        <v>1.726646619458716E-2</v>
      </c>
      <c r="Q211" s="12">
        <f ca="1"/>
        <v>-1.2151188830253234E-2</v>
      </c>
      <c r="R211" s="12">
        <f ca="1"/>
        <v>-8.914607444479139E-3</v>
      </c>
      <c r="S211" s="12">
        <f ca="1"/>
        <v>4.20293391903237E-3</v>
      </c>
      <c r="T211" s="12">
        <f ca="1"/>
        <v>1.5129382303839867E-2</v>
      </c>
      <c r="U211" s="12">
        <f ca="1"/>
        <v>-1.6711265296625033E-3</v>
      </c>
      <c r="V211" s="12">
        <f ca="1"/>
        <v>-2.4997185001689126E-2</v>
      </c>
      <c r="W211" s="12">
        <f ca="1"/>
        <v>1.6417337936325493E-2</v>
      </c>
      <c r="X211" s="12">
        <f ca="1"/>
        <v>2.1202813831368239E-2</v>
      </c>
      <c r="Y211" s="12">
        <f ca="1"/>
        <v>5.9399406005939959E-3</v>
      </c>
      <c r="Z211" s="12">
        <f ca="1"/>
        <v>1.5477031802120234E-2</v>
      </c>
    </row>
    <row r="212" spans="1:26" x14ac:dyDescent="0.2">
      <c r="A212" vm="3359">
        <f ca="1"/>
        <v>46266</v>
      </c>
      <c r="B212" s="13">
        <f ca="1"/>
        <v>-1.2671011993991566E-3</v>
      </c>
      <c r="C212" s="66">
        <f t="shared" ca="1" si="16"/>
        <v>1.2060309659352415</v>
      </c>
      <c r="D212" s="66">
        <f t="shared" ca="1" si="17"/>
        <v>1.2134512268971045</v>
      </c>
      <c r="E212" s="13">
        <f t="shared" ca="1" si="15"/>
        <v>-6.1150055291774794E-3</v>
      </c>
      <c r="F212" s="13">
        <f ca="1"/>
        <v>-6.8704778045759474E-3</v>
      </c>
      <c r="G212" s="67">
        <f t="shared" ca="1" si="18"/>
        <v>1.108220951715911</v>
      </c>
      <c r="H212" s="13">
        <f ca="1"/>
        <v>-1.2723924326134228E-2</v>
      </c>
      <c r="I212" s="67">
        <f t="shared" ca="1" si="19"/>
        <v>1.1130440253550815</v>
      </c>
      <c r="J212" s="12">
        <f ca="1"/>
        <v>-1.0077218926090592E-2</v>
      </c>
      <c r="K212" s="12">
        <f ca="1"/>
        <v>-3.5811049593591826E-2</v>
      </c>
      <c r="L212" s="12">
        <f ca="1"/>
        <v>-1.0629251700680409E-2</v>
      </c>
      <c r="M212" s="12">
        <f ca="1"/>
        <v>2.5208454527827495E-3</v>
      </c>
      <c r="N212" s="12">
        <f ca="1"/>
        <v>-7.5561069132739078E-3</v>
      </c>
      <c r="O212" s="12">
        <f ca="1"/>
        <v>-1.0893246187363759E-2</v>
      </c>
      <c r="P212" s="12">
        <f ca="1"/>
        <v>1.0012396300181248E-2</v>
      </c>
      <c r="Q212" s="12">
        <f ca="1"/>
        <v>-1.2359794200555996E-2</v>
      </c>
      <c r="R212" s="12">
        <f ca="1"/>
        <v>2.6132239229919474E-2</v>
      </c>
      <c r="S212" s="12">
        <f ca="1"/>
        <v>-1.7821461359830426E-3</v>
      </c>
      <c r="T212" s="12">
        <f ca="1"/>
        <v>-7.0921985815602939E-2</v>
      </c>
      <c r="U212" s="12">
        <f ca="1"/>
        <v>-4.1636207608937159E-3</v>
      </c>
      <c r="V212" s="12">
        <f ca="1"/>
        <v>-1.8670362243523142E-2</v>
      </c>
      <c r="W212" s="12">
        <f ca="1"/>
        <v>2.7926635972526093E-2</v>
      </c>
      <c r="X212" s="12">
        <f ca="1"/>
        <v>2.3818763946832355E-2</v>
      </c>
      <c r="Y212" s="12">
        <f ca="1"/>
        <v>2.2525970475669732E-2</v>
      </c>
      <c r="Z212" s="12">
        <f ca="1"/>
        <v>-1.0160762753149144E-2</v>
      </c>
    </row>
    <row r="213" spans="1:26" x14ac:dyDescent="0.2">
      <c r="A213" vm="3374">
        <f ca="1"/>
        <v>46267</v>
      </c>
      <c r="B213" s="13">
        <f ca="1"/>
        <v>1.6906056609439322E-3</v>
      </c>
      <c r="C213" s="66">
        <f t="shared" ca="1" si="16"/>
        <v>1.2080698887135255</v>
      </c>
      <c r="D213" s="66">
        <f t="shared" ca="1" si="17"/>
        <v>1.2134512268971045</v>
      </c>
      <c r="E213" s="13">
        <f t="shared" ca="1" si="15"/>
        <v>-4.434737931197719E-3</v>
      </c>
      <c r="F213" s="13">
        <f ca="1"/>
        <v>4.4369765549108209E-3</v>
      </c>
      <c r="G213" s="67">
        <f t="shared" ca="1" si="18"/>
        <v>1.1131381020963353</v>
      </c>
      <c r="H213" s="13">
        <f ca="1"/>
        <v>2.2610366853201835E-3</v>
      </c>
      <c r="I213" s="67">
        <f t="shared" ca="1" si="19"/>
        <v>1.1155606587287858</v>
      </c>
      <c r="J213" s="12">
        <f ca="1"/>
        <v>5.2706080775832831E-3</v>
      </c>
      <c r="K213" s="12">
        <f ca="1"/>
        <v>-1.1240073304825793E-2</v>
      </c>
      <c r="L213" s="12">
        <f ca="1"/>
        <v>2.8518967066453182E-3</v>
      </c>
      <c r="M213" s="12">
        <f ca="1"/>
        <v>1.4893617021276562E-2</v>
      </c>
      <c r="N213" s="12">
        <f ca="1"/>
        <v>2.7272727272726893E-3</v>
      </c>
      <c r="O213" s="12">
        <f ca="1"/>
        <v>2.9735682819383102E-2</v>
      </c>
      <c r="P213" s="12">
        <f ca="1"/>
        <v>1.6049848942598643E-3</v>
      </c>
      <c r="Q213" s="12">
        <f ca="1"/>
        <v>-8.3828988862719722E-3</v>
      </c>
      <c r="R213" s="12">
        <f ca="1"/>
        <v>-5.2286777596655121E-4</v>
      </c>
      <c r="S213" s="12">
        <f ca="1"/>
        <v>-6.6003029647262457E-3</v>
      </c>
      <c r="T213" s="12">
        <f ca="1"/>
        <v>-1.4050226794999454E-2</v>
      </c>
      <c r="U213" s="12">
        <f ca="1"/>
        <v>-1.2213285671730745E-2</v>
      </c>
      <c r="V213" s="12">
        <f ca="1"/>
        <v>2.3536795857515003E-4</v>
      </c>
      <c r="W213" s="12">
        <f ca="1"/>
        <v>7.4161098465379549E-3</v>
      </c>
      <c r="X213" s="12">
        <f ca="1"/>
        <v>3.4588959962094101E-3</v>
      </c>
      <c r="Y213" s="12">
        <f ca="1"/>
        <v>-7.5927708266496641E-3</v>
      </c>
      <c r="Z213" s="12">
        <f ca="1"/>
        <v>-1.0686915559305232E-2</v>
      </c>
    </row>
    <row r="214" spans="1:26" x14ac:dyDescent="0.2">
      <c r="A214" vm="3391">
        <f ca="1"/>
        <v>46268</v>
      </c>
      <c r="B214" s="13">
        <f ca="1"/>
        <v>1.4806180766478411E-2</v>
      </c>
      <c r="C214" s="66">
        <f t="shared" ca="1" si="16"/>
        <v>1.2259567898643573</v>
      </c>
      <c r="D214" s="66">
        <f t="shared" ca="1" si="17"/>
        <v>1.2259567898643573</v>
      </c>
      <c r="E214" s="13">
        <f t="shared" ca="1" si="15"/>
        <v>0</v>
      </c>
      <c r="F214" s="13">
        <f ca="1"/>
        <v>1.0468398766271036E-2</v>
      </c>
      <c r="G214" s="67">
        <f t="shared" ca="1" si="18"/>
        <v>1.1247908756310099</v>
      </c>
      <c r="H214" s="13">
        <f ca="1"/>
        <v>1.1885962438666686E-2</v>
      </c>
      <c r="I214" s="67">
        <f t="shared" ca="1" si="19"/>
        <v>1.1288201708164904</v>
      </c>
      <c r="J214" s="12">
        <f ca="1"/>
        <v>1.5878722511834198E-2</v>
      </c>
      <c r="K214" s="12">
        <f ca="1"/>
        <v>4.4853577165451464E-2</v>
      </c>
      <c r="L214" s="12">
        <f ca="1"/>
        <v>4.7253603428126123E-2</v>
      </c>
      <c r="M214" s="12">
        <f ca="1"/>
        <v>1.4484467314656024E-2</v>
      </c>
      <c r="N214" s="12">
        <f ca="1"/>
        <v>6.4596554850409049E-3</v>
      </c>
      <c r="O214" s="12">
        <f ca="1"/>
        <v>2.3529411764706021E-2</v>
      </c>
      <c r="P214" s="12">
        <f ca="1"/>
        <v>2.1962484682816363E-2</v>
      </c>
      <c r="Q214" s="12">
        <f ca="1"/>
        <v>2.6770258846262163E-2</v>
      </c>
      <c r="R214" s="12">
        <f ca="1"/>
        <v>1.0001230920728688E-2</v>
      </c>
      <c r="S214" s="12">
        <f ca="1"/>
        <v>-2.7447990414987467E-2</v>
      </c>
      <c r="T214" s="12">
        <f ca="1"/>
        <v>4.297576301615802E-2</v>
      </c>
      <c r="U214" s="12">
        <f ca="1"/>
        <v>-3.3064794072031889E-3</v>
      </c>
      <c r="V214" s="12">
        <f ca="1"/>
        <v>1.5373754804298256E-2</v>
      </c>
      <c r="W214" s="12">
        <f ca="1"/>
        <v>-1.0787172011661683E-2</v>
      </c>
      <c r="X214" s="12">
        <f ca="1"/>
        <v>-2.1720653508358057E-3</v>
      </c>
      <c r="Y214" s="12">
        <f ca="1"/>
        <v>-5.0646551724138344E-3</v>
      </c>
      <c r="Z214" s="12">
        <f ca="1"/>
        <v>6.4174543387108152E-2</v>
      </c>
    </row>
    <row r="215" spans="1:26" x14ac:dyDescent="0.2">
      <c r="A215" vm="3407">
        <f ca="1"/>
        <v>46269</v>
      </c>
      <c r="B215" s="13">
        <f ca="1"/>
        <v>-5.1608672894725878E-3</v>
      </c>
      <c r="C215" s="66">
        <f t="shared" ca="1" si="16"/>
        <v>1.2196297895692394</v>
      </c>
      <c r="D215" s="66">
        <f t="shared" ca="1" si="17"/>
        <v>1.2259567898643573</v>
      </c>
      <c r="E215" s="13">
        <f t="shared" ca="1" si="15"/>
        <v>-5.1608672894726867E-3</v>
      </c>
      <c r="F215" s="13">
        <f ca="1"/>
        <v>-3.8542623226456296E-3</v>
      </c>
      <c r="G215" s="67">
        <f t="shared" ca="1" si="18"/>
        <v>1.1204556365382097</v>
      </c>
      <c r="H215" s="13">
        <f ca="1"/>
        <v>1.7974835230678554E-3</v>
      </c>
      <c r="I215" s="67">
        <f t="shared" ca="1" si="19"/>
        <v>1.1308492064740396</v>
      </c>
      <c r="J215" s="12">
        <f ca="1"/>
        <v>-1.1118320160434014E-2</v>
      </c>
      <c r="K215" s="12">
        <f ca="1"/>
        <v>5.6764427625354719E-2</v>
      </c>
      <c r="L215" s="12">
        <f ca="1"/>
        <v>4.3521928356210271E-2</v>
      </c>
      <c r="M215" s="12">
        <f ca="1"/>
        <v>6.1055795603983665E-3</v>
      </c>
      <c r="N215" s="12">
        <f ca="1"/>
        <v>-8.3323950005631531E-3</v>
      </c>
      <c r="O215" s="12">
        <f ca="1"/>
        <v>3.1347962382444194E-3</v>
      </c>
      <c r="P215" s="12">
        <f ca="1"/>
        <v>-1.1805939863493875E-2</v>
      </c>
      <c r="Q215" s="12">
        <f ca="1"/>
        <v>-2.0426566298126003E-2</v>
      </c>
      <c r="R215" s="12">
        <f ca="1"/>
        <v>-2.5105877334633209E-2</v>
      </c>
      <c r="S215" s="12">
        <f ca="1"/>
        <v>2.0579012207413427E-3</v>
      </c>
      <c r="T215" s="12">
        <f ca="1"/>
        <v>-3.5502958579881616E-3</v>
      </c>
      <c r="U215" s="12">
        <f ca="1"/>
        <v>-1.0449422418171372E-2</v>
      </c>
      <c r="V215" s="12">
        <f ca="1"/>
        <v>-1.5063731170334993E-3</v>
      </c>
      <c r="W215" s="12">
        <f ca="1"/>
        <v>-1.0757441791924616E-2</v>
      </c>
      <c r="X215" s="12">
        <f ca="1"/>
        <v>-1.2871474540980476E-2</v>
      </c>
      <c r="Y215" s="12">
        <f ca="1"/>
        <v>6.7150438643994725E-3</v>
      </c>
      <c r="Z215" s="12">
        <f ca="1"/>
        <v>-1.1954053693068123E-2</v>
      </c>
    </row>
    <row r="216" spans="1:26" x14ac:dyDescent="0.2">
      <c r="A216" vm="3422">
        <f ca="1"/>
        <v>46273</v>
      </c>
      <c r="B216" s="13">
        <f ca="1"/>
        <v>1.503425022744673E-3</v>
      </c>
      <c r="C216" s="66">
        <f t="shared" ca="1" si="16"/>
        <v>1.2214634115133625</v>
      </c>
      <c r="D216" s="66">
        <f t="shared" ca="1" si="17"/>
        <v>1.2259567898643573</v>
      </c>
      <c r="E216" s="13">
        <f t="shared" ca="1" si="15"/>
        <v>-3.6652012437501931E-3</v>
      </c>
      <c r="F216" s="13">
        <f ca="1"/>
        <v>-5.4921512873447043E-3</v>
      </c>
      <c r="G216" s="67">
        <f t="shared" ca="1" si="18"/>
        <v>1.1143019246715837</v>
      </c>
      <c r="H216" s="13">
        <f ca="1"/>
        <v>-8.345387782352498E-4</v>
      </c>
      <c r="I216" s="67">
        <f t="shared" ca="1" si="19"/>
        <v>1.1299054689589005</v>
      </c>
      <c r="J216" s="12">
        <f ca="1"/>
        <v>2.0876204109621099E-4</v>
      </c>
      <c r="K216" s="12">
        <f ca="1"/>
        <v>0.11716651745747542</v>
      </c>
      <c r="L216" s="12">
        <f ca="1"/>
        <v>3.6716215734502677E-2</v>
      </c>
      <c r="M216" s="12">
        <f ca="1"/>
        <v>-7.9357669685369281E-3</v>
      </c>
      <c r="N216" s="12">
        <f ca="1"/>
        <v>3.2928352446917053E-3</v>
      </c>
      <c r="O216" s="12">
        <f ca="1"/>
        <v>-1.7708333333333326E-2</v>
      </c>
      <c r="P216" s="12">
        <f ca="1"/>
        <v>-1.0173604629456823E-2</v>
      </c>
      <c r="Q216" s="12">
        <f ca="1"/>
        <v>-1.1506904142485452E-2</v>
      </c>
      <c r="R216" s="12">
        <f ca="1"/>
        <v>-1.1719848735818994E-2</v>
      </c>
      <c r="S216" s="12">
        <f ca="1"/>
        <v>2.9799242794674496E-2</v>
      </c>
      <c r="T216" s="12">
        <f ca="1"/>
        <v>-1.7814726840855166E-2</v>
      </c>
      <c r="U216" s="12">
        <f ca="1"/>
        <v>-6.0715923733811739E-3</v>
      </c>
      <c r="V216" s="12">
        <f ca="1"/>
        <v>-5.9572163552665813E-3</v>
      </c>
      <c r="W216" s="12">
        <f ca="1"/>
        <v>5.8096231193207615E-3</v>
      </c>
      <c r="X216" s="12">
        <f ca="1"/>
        <v>5.7526366251199335E-3</v>
      </c>
      <c r="Y216" s="12">
        <f ca="1"/>
        <v>2.549757934373309E-2</v>
      </c>
      <c r="Z216" s="12">
        <f ca="1"/>
        <v>3.7309901993916927E-2</v>
      </c>
    </row>
    <row r="217" spans="1:26" x14ac:dyDescent="0.2">
      <c r="A217" vm="3437">
        <f ca="1"/>
        <v>46274</v>
      </c>
      <c r="B217" s="13">
        <f ca="1"/>
        <v>-1.2511042258232212E-2</v>
      </c>
      <c r="C217" s="66">
        <f t="shared" ca="1" si="16"/>
        <v>1.2061816311550344</v>
      </c>
      <c r="D217" s="66">
        <f t="shared" ca="1" si="17"/>
        <v>1.2259567898643573</v>
      </c>
      <c r="E217" s="13">
        <f t="shared" ca="1" si="15"/>
        <v>-1.6130388014336836E-2</v>
      </c>
      <c r="F217" s="13">
        <f ca="1"/>
        <v>-4.6477622852368894E-3</v>
      </c>
      <c r="G217" s="67">
        <f t="shared" ca="1" si="18"/>
        <v>1.1091229142117283</v>
      </c>
      <c r="H217" s="13">
        <f ca="1"/>
        <v>-2.8537223676151635E-3</v>
      </c>
      <c r="I217" s="67">
        <f t="shared" ca="1" si="19"/>
        <v>1.1266810324488419</v>
      </c>
      <c r="J217" s="12">
        <f ca="1"/>
        <v>-2.0871846860277876E-2</v>
      </c>
      <c r="K217" s="12">
        <f ca="1"/>
        <v>-4.8983271561654829E-2</v>
      </c>
      <c r="L217" s="12">
        <f ca="1"/>
        <v>-9.606986899563319E-2</v>
      </c>
      <c r="M217" s="12">
        <f ca="1"/>
        <v>-1.0822510822510845E-2</v>
      </c>
      <c r="N217" s="12">
        <f ca="1"/>
        <v>-9.1670439112720992E-3</v>
      </c>
      <c r="O217" s="12">
        <f ca="1"/>
        <v>-9.5440084835630712E-3</v>
      </c>
      <c r="P217" s="12">
        <f ca="1"/>
        <v>-2.0744931636020869E-3</v>
      </c>
      <c r="Q217" s="12">
        <f ca="1"/>
        <v>-4.6563417349934078E-3</v>
      </c>
      <c r="R217" s="12">
        <f ca="1"/>
        <v>-2.7828726835749107E-3</v>
      </c>
      <c r="S217" s="12">
        <f ca="1"/>
        <v>-1.1341436943781202E-2</v>
      </c>
      <c r="T217" s="12">
        <f ca="1"/>
        <v>-7.5849181048697201E-3</v>
      </c>
      <c r="U217" s="12">
        <f ca="1"/>
        <v>-8.3280230284118462E-3</v>
      </c>
      <c r="V217" s="12">
        <f ca="1"/>
        <v>-1.778417714130065E-2</v>
      </c>
      <c r="W217" s="12">
        <f ca="1"/>
        <v>1.103376777251186E-2</v>
      </c>
      <c r="X217" s="12">
        <f ca="1"/>
        <v>1.9113441372735851E-2</v>
      </c>
      <c r="Y217" s="12">
        <f ca="1"/>
        <v>2.9374737725555988E-3</v>
      </c>
      <c r="Z217" s="12">
        <f ca="1"/>
        <v>-3.8574314198214554E-2</v>
      </c>
    </row>
    <row r="218" spans="1:26" x14ac:dyDescent="0.2">
      <c r="A218" vm="3452">
        <f ca="1"/>
        <v>46275</v>
      </c>
      <c r="B218" s="13">
        <f ca="1"/>
        <v>-2.2626492508840048E-3</v>
      </c>
      <c r="C218" s="66">
        <f t="shared" ca="1" si="16"/>
        <v>1.2034524651908713</v>
      </c>
      <c r="D218" s="66">
        <f t="shared" ca="1" si="17"/>
        <v>1.2259567898643573</v>
      </c>
      <c r="E218" s="13">
        <f t="shared" ca="1" si="15"/>
        <v>-1.8356539854863796E-2</v>
      </c>
      <c r="F218" s="13">
        <f ca="1"/>
        <v>-5.9942287513116144E-3</v>
      </c>
      <c r="G218" s="67">
        <f t="shared" ca="1" si="18"/>
        <v>1.1024745777506217</v>
      </c>
      <c r="H218" s="13">
        <f ca="1"/>
        <v>-1.0637852326506492E-2</v>
      </c>
      <c r="I218" s="67">
        <f t="shared" ca="1" si="19"/>
        <v>1.1146955660065752</v>
      </c>
      <c r="J218" s="12">
        <f ca="1"/>
        <v>6.1209574273706213E-3</v>
      </c>
      <c r="K218" s="12">
        <f ca="1"/>
        <v>-6.1301874868337825E-2</v>
      </c>
      <c r="L218" s="12">
        <f ca="1"/>
        <v>-5.6145155768572375E-2</v>
      </c>
      <c r="M218" s="12">
        <f ca="1"/>
        <v>-1.3414518123870178E-2</v>
      </c>
      <c r="N218" s="12">
        <f ca="1"/>
        <v>3.1981724728726846E-3</v>
      </c>
      <c r="O218" s="12">
        <f ca="1"/>
        <v>-2.0342612419700146E-2</v>
      </c>
      <c r="P218" s="12">
        <f ca="1"/>
        <v>-9.4491165076060479E-4</v>
      </c>
      <c r="Q218" s="12">
        <f ca="1"/>
        <v>1.6068341299706468E-3</v>
      </c>
      <c r="R218" s="12">
        <f ca="1"/>
        <v>3.5612354918500788E-2</v>
      </c>
      <c r="S218" s="12">
        <f ca="1"/>
        <v>-9.7425764311982466E-3</v>
      </c>
      <c r="T218" s="12">
        <f ca="1"/>
        <v>-9.5259193619848803E-3</v>
      </c>
      <c r="U218" s="12">
        <f ca="1"/>
        <v>-2.4374030578333539E-4</v>
      </c>
      <c r="V218" s="12">
        <f ca="1"/>
        <v>-2.0206022187005956E-3</v>
      </c>
      <c r="W218" s="12">
        <f ca="1"/>
        <v>3.735442759832841E-3</v>
      </c>
      <c r="X218" s="12">
        <f ca="1"/>
        <v>-4.910902202890477E-3</v>
      </c>
      <c r="Y218" s="12">
        <f ca="1"/>
        <v>3.7656903765690419E-3</v>
      </c>
      <c r="Z218" s="12">
        <f ca="1"/>
        <v>4.2697390715011885E-3</v>
      </c>
    </row>
    <row r="219" spans="1:26" x14ac:dyDescent="0.2">
      <c r="A219" vm="3465">
        <f ca="1"/>
        <v>46276</v>
      </c>
      <c r="B219" s="13">
        <f ca="1"/>
        <v>1.3340458501306116E-2</v>
      </c>
      <c r="C219" s="66">
        <f t="shared" ca="1" si="16"/>
        <v>1.2195070728610449</v>
      </c>
      <c r="D219" s="66">
        <f t="shared" ca="1" si="17"/>
        <v>1.2259567898643573</v>
      </c>
      <c r="E219" s="13">
        <f t="shared" ca="1" si="15"/>
        <v>-5.2609660117189276E-3</v>
      </c>
      <c r="F219" s="13">
        <f ca="1"/>
        <v>8.5243392317537747E-3</v>
      </c>
      <c r="G219" s="67">
        <f t="shared" ca="1" si="18"/>
        <v>1.1118724450457524</v>
      </c>
      <c r="H219" s="13">
        <f ca="1"/>
        <v>8.7344254892829376E-3</v>
      </c>
      <c r="I219" s="67">
        <f t="shared" ca="1" si="19"/>
        <v>1.1244317913710937</v>
      </c>
      <c r="J219" s="12">
        <f ca="1"/>
        <v>1.531523351191022E-2</v>
      </c>
      <c r="K219" s="12">
        <f ca="1"/>
        <v>-1.4587073608618439E-3</v>
      </c>
      <c r="L219" s="12">
        <f ca="1"/>
        <v>3.5989199210091583E-2</v>
      </c>
      <c r="M219" s="12">
        <f ca="1"/>
        <v>1.5429122468659573E-2</v>
      </c>
      <c r="N219" s="12">
        <f ca="1"/>
        <v>5.237390413298515E-3</v>
      </c>
      <c r="O219" s="12">
        <f ca="1"/>
        <v>2.2950819672131084E-2</v>
      </c>
      <c r="P219" s="12">
        <f ca="1"/>
        <v>1.343043601626781E-2</v>
      </c>
      <c r="Q219" s="12">
        <f ca="1"/>
        <v>6.4779465518642887E-3</v>
      </c>
      <c r="R219" s="12">
        <f ca="1"/>
        <v>1.7454144593808341E-2</v>
      </c>
      <c r="S219" s="12">
        <f ca="1"/>
        <v>3.2148102984785876E-3</v>
      </c>
      <c r="T219" s="12">
        <f ca="1"/>
        <v>2.180720196823982E-2</v>
      </c>
      <c r="U219" s="12">
        <f ca="1"/>
        <v>2.6485516079699511E-3</v>
      </c>
      <c r="V219" s="12">
        <f ca="1"/>
        <v>1.9413235936321271E-2</v>
      </c>
      <c r="W219" s="12">
        <f ca="1"/>
        <v>2.2621132516054132E-3</v>
      </c>
      <c r="X219" s="12">
        <f ca="1"/>
        <v>6.1101710847903945E-3</v>
      </c>
      <c r="Y219" s="12">
        <f ca="1"/>
        <v>8.4410170904543058E-3</v>
      </c>
      <c r="Z219" s="12">
        <f ca="1"/>
        <v>2.0448103657713546E-2</v>
      </c>
    </row>
    <row r="220" spans="1:26" x14ac:dyDescent="0.2">
      <c r="A220" vm="3481">
        <f ca="1"/>
        <v>46279</v>
      </c>
      <c r="B220" s="13">
        <f ca="1"/>
        <v>-8.2773361668710532E-3</v>
      </c>
      <c r="C220" s="66">
        <f t="shared" ca="1" si="16"/>
        <v>1.2094128028610971</v>
      </c>
      <c r="D220" s="66">
        <f t="shared" ca="1" si="17"/>
        <v>1.2259567898643573</v>
      </c>
      <c r="E220" s="13">
        <f t="shared" ca="1" si="15"/>
        <v>-1.3494755394348501E-2</v>
      </c>
      <c r="F220" s="13">
        <f ca="1"/>
        <v>-4.4616572243519892E-3</v>
      </c>
      <c r="G220" s="67">
        <f t="shared" ca="1" si="18"/>
        <v>1.1069116513187562</v>
      </c>
      <c r="H220" s="13">
        <f ca="1"/>
        <v>-7.9733661593555105E-3</v>
      </c>
      <c r="I220" s="67">
        <f t="shared" ca="1" si="19"/>
        <v>1.1154662849772718</v>
      </c>
      <c r="J220" s="12">
        <f ca="1"/>
        <v>3.0585780295125931E-2</v>
      </c>
      <c r="K220" s="12">
        <f ca="1"/>
        <v>-6.7535678166085966E-2</v>
      </c>
      <c r="L220" s="12">
        <f ca="1"/>
        <v>-7.6519100599081957E-2</v>
      </c>
      <c r="M220" s="12">
        <f ca="1"/>
        <v>-1.2915479582146228E-2</v>
      </c>
      <c r="N220" s="12">
        <f ca="1"/>
        <v>1.2005889681730553E-2</v>
      </c>
      <c r="O220" s="12">
        <f ca="1"/>
        <v>-5.5555555555555469E-2</v>
      </c>
      <c r="P220" s="12">
        <f ca="1"/>
        <v>1.8012132524498403E-2</v>
      </c>
      <c r="Q220" s="12">
        <f ca="1"/>
        <v>1.9732461715392668E-2</v>
      </c>
      <c r="R220" s="12">
        <f ca="1"/>
        <v>2.4377765070575652E-3</v>
      </c>
      <c r="S220" s="12">
        <f ca="1"/>
        <v>-4.77085002348131E-2</v>
      </c>
      <c r="T220" s="12">
        <f ca="1"/>
        <v>-6.7855970230930041E-3</v>
      </c>
      <c r="U220" s="12">
        <f ca="1"/>
        <v>1.5628281220641638E-2</v>
      </c>
      <c r="V220" s="12">
        <f ca="1"/>
        <v>-1.2617805125009651E-2</v>
      </c>
      <c r="W220" s="12">
        <f ca="1"/>
        <v>-4.9508554787041081E-3</v>
      </c>
      <c r="X220" s="12">
        <f ca="1"/>
        <v>-8.8293001962067574E-3</v>
      </c>
      <c r="Y220" s="12">
        <f ca="1"/>
        <v>-3.3068099617649116E-3</v>
      </c>
      <c r="Z220" s="12">
        <f ca="1"/>
        <v>-2.02367568282521E-2</v>
      </c>
    </row>
    <row r="221" spans="1:26" x14ac:dyDescent="0.2">
      <c r="A221" vm="3498">
        <f ca="1"/>
        <v>46280</v>
      </c>
      <c r="B221" s="13">
        <f ca="1"/>
        <v>-7.5803362325534956E-3</v>
      </c>
      <c r="C221" s="66">
        <f t="shared" ca="1" si="16"/>
        <v>1.200245047171455</v>
      </c>
      <c r="D221" s="66">
        <f t="shared" ca="1" si="17"/>
        <v>1.2259567898643573</v>
      </c>
      <c r="E221" s="13">
        <f t="shared" ca="1" si="15"/>
        <v>-2.0972796843636825E-2</v>
      </c>
      <c r="F221" s="13">
        <f ca="1"/>
        <v>-4.58679423825048E-3</v>
      </c>
      <c r="G221" s="67">
        <f t="shared" ca="1" si="18"/>
        <v>1.1018344753342351</v>
      </c>
      <c r="H221" s="13">
        <f ca="1"/>
        <v>-6.5427677035448939E-3</v>
      </c>
      <c r="I221" s="67">
        <f t="shared" ca="1" si="19"/>
        <v>1.1081680481935294</v>
      </c>
      <c r="J221" s="12">
        <f ca="1"/>
        <v>-1.2380318764282139E-2</v>
      </c>
      <c r="K221" s="12">
        <f ca="1"/>
        <v>-2.4825259098578023E-2</v>
      </c>
      <c r="L221" s="12">
        <f ca="1"/>
        <v>-1.1710687055056956E-2</v>
      </c>
      <c r="M221" s="12">
        <f ca="1"/>
        <v>-1.6548008466422903E-2</v>
      </c>
      <c r="N221" s="12">
        <f ca="1"/>
        <v>-7.1628427532176575E-3</v>
      </c>
      <c r="O221" s="12">
        <f ca="1"/>
        <v>3.3936651583710287E-3</v>
      </c>
      <c r="P221" s="12">
        <f ca="1"/>
        <v>-9.075907590759047E-3</v>
      </c>
      <c r="Q221" s="12">
        <f ca="1"/>
        <v>-1.6402524682930686E-2</v>
      </c>
      <c r="R221" s="12">
        <f ca="1"/>
        <v>-5.2239702173652036E-3</v>
      </c>
      <c r="S221" s="12">
        <f ca="1"/>
        <v>-1.5809932699002216E-2</v>
      </c>
      <c r="T221" s="12">
        <f ca="1"/>
        <v>-2.1487603305785141E-2</v>
      </c>
      <c r="U221" s="12">
        <f ca="1"/>
        <v>-1.9109597240208442E-2</v>
      </c>
      <c r="V221" s="12">
        <f ca="1"/>
        <v>-2.0194052220556924E-2</v>
      </c>
      <c r="W221" s="12">
        <f ca="1"/>
        <v>3.329187092997743E-2</v>
      </c>
      <c r="X221" s="12">
        <f ca="1"/>
        <v>2.6393929396238969E-2</v>
      </c>
      <c r="Y221" s="12">
        <f ca="1"/>
        <v>2.5920165889061764E-2</v>
      </c>
      <c r="Z221" s="12">
        <f ca="1"/>
        <v>-3.1454606817414743E-2</v>
      </c>
    </row>
    <row r="222" spans="1:26" x14ac:dyDescent="0.2">
      <c r="A222" vm="3515">
        <f ca="1"/>
        <v>46281</v>
      </c>
      <c r="B222" s="13">
        <f ca="1"/>
        <v>-7.7994851079747299E-3</v>
      </c>
      <c r="C222" s="66">
        <f t="shared" ca="1" si="16"/>
        <v>1.1908837538001209</v>
      </c>
      <c r="D222" s="66">
        <f t="shared" ca="1" si="17"/>
        <v>1.2259567898643573</v>
      </c>
      <c r="E222" s="13">
        <f t="shared" ca="1" si="15"/>
        <v>-2.860870493495693E-2</v>
      </c>
      <c r="F222" s="13">
        <f ca="1"/>
        <v>-4.4098813028955464E-3</v>
      </c>
      <c r="G222" s="67">
        <f t="shared" ca="1" si="18"/>
        <v>1.0969755160825729</v>
      </c>
      <c r="H222" s="13">
        <f ca="1"/>
        <v>2.5548584892276516E-4</v>
      </c>
      <c r="I222" s="67">
        <f t="shared" ca="1" si="19"/>
        <v>1.1084511694480712</v>
      </c>
      <c r="J222" s="12">
        <f ca="1"/>
        <v>-6.0627361391792922E-3</v>
      </c>
      <c r="K222" s="12">
        <f ca="1"/>
        <v>3.0029658922392288E-2</v>
      </c>
      <c r="L222" s="12">
        <f ca="1"/>
        <v>2.0459485955415246E-2</v>
      </c>
      <c r="M222" s="12">
        <f ca="1"/>
        <v>-1.350029348464088E-2</v>
      </c>
      <c r="N222" s="12">
        <f ca="1"/>
        <v>-9.4690564761581442E-3</v>
      </c>
      <c r="O222" s="12">
        <f ca="1"/>
        <v>0</v>
      </c>
      <c r="P222" s="12">
        <f ca="1"/>
        <v>-5.4584142843926431E-3</v>
      </c>
      <c r="Q222" s="12">
        <f ca="1"/>
        <v>-1.3719021564209788E-2</v>
      </c>
      <c r="R222" s="12">
        <f ca="1"/>
        <v>3.2293112814631986E-3</v>
      </c>
      <c r="S222" s="12">
        <f ca="1"/>
        <v>7.0740118489709403E-4</v>
      </c>
      <c r="T222" s="12">
        <f ca="1"/>
        <v>-2.3198198198198239E-2</v>
      </c>
      <c r="U222" s="12">
        <f ca="1"/>
        <v>-8.442891218727433E-3</v>
      </c>
      <c r="V222" s="12">
        <f ca="1"/>
        <v>-9.9025843329844099E-3</v>
      </c>
      <c r="W222" s="12">
        <f ca="1"/>
        <v>-6.1464381815606872E-2</v>
      </c>
      <c r="X222" s="12">
        <f ca="1"/>
        <v>-2.8608164577306416E-2</v>
      </c>
      <c r="Y222" s="12">
        <f ca="1"/>
        <v>-3.284487114704393E-2</v>
      </c>
      <c r="Z222" s="12">
        <f ca="1"/>
        <v>5.1501846818593489E-2</v>
      </c>
    </row>
    <row r="223" spans="1:26" x14ac:dyDescent="0.2">
      <c r="A223" vm="3530">
        <f ca="1"/>
        <v>46282</v>
      </c>
      <c r="B223" s="13">
        <f ca="1"/>
        <v>1.2397885797567143E-2</v>
      </c>
      <c r="C223" s="66">
        <f t="shared" ca="1" si="16"/>
        <v>1.2056481945779127</v>
      </c>
      <c r="D223" s="66">
        <f t="shared" ca="1" si="17"/>
        <v>1.2259567898643573</v>
      </c>
      <c r="E223" s="13">
        <f t="shared" ca="1" si="15"/>
        <v>-1.6565506593989799E-2</v>
      </c>
      <c r="F223" s="13">
        <f ca="1"/>
        <v>1.1338770638551932E-2</v>
      </c>
      <c r="G223" s="67">
        <f t="shared" ca="1" si="18"/>
        <v>1.1094138698555405</v>
      </c>
      <c r="H223" s="13">
        <f ca="1"/>
        <v>1.7311840163469094E-2</v>
      </c>
      <c r="I223" s="67">
        <f t="shared" ca="1" si="19"/>
        <v>1.1276404989225666</v>
      </c>
      <c r="J223" s="12">
        <f ca="1"/>
        <v>1.2729844413012614E-2</v>
      </c>
      <c r="K223" s="12">
        <f ca="1"/>
        <v>-4.1631673665266988E-2</v>
      </c>
      <c r="L223" s="12">
        <f ca="1"/>
        <v>8.6880247274550015E-3</v>
      </c>
      <c r="M223" s="12">
        <f ca="1"/>
        <v>1.983339944466489E-2</v>
      </c>
      <c r="N223" s="12">
        <f ca="1"/>
        <v>2.1622851940366061E-3</v>
      </c>
      <c r="O223" s="12">
        <f ca="1"/>
        <v>3.2694475760992159E-2</v>
      </c>
      <c r="P223" s="12">
        <f ca="1"/>
        <v>-6.6046511627906312E-3</v>
      </c>
      <c r="Q223" s="12">
        <f ca="1"/>
        <v>1.5194778706914214E-2</v>
      </c>
      <c r="R223" s="12">
        <f ca="1"/>
        <v>1.3808248849312532E-2</v>
      </c>
      <c r="S223" s="12">
        <f ca="1"/>
        <v>2.294483225825461E-2</v>
      </c>
      <c r="T223" s="12">
        <f ca="1"/>
        <v>1.8907078625778118E-2</v>
      </c>
      <c r="U223" s="12">
        <f ca="1"/>
        <v>2.1258979121441257E-4</v>
      </c>
      <c r="V223" s="12">
        <f ca="1"/>
        <v>2.1263620100829383E-2</v>
      </c>
      <c r="W223" s="12">
        <f ca="1"/>
        <v>4.9041798702278427E-3</v>
      </c>
      <c r="X223" s="12">
        <f ca="1"/>
        <v>1.4181715042083098E-4</v>
      </c>
      <c r="Y223" s="12">
        <f ca="1"/>
        <v>1.2539184952977678E-3</v>
      </c>
      <c r="Z223" s="12">
        <f ca="1"/>
        <v>2.6047189819724315E-2</v>
      </c>
    </row>
    <row r="224" spans="1:26" x14ac:dyDescent="0.2">
      <c r="A224" vm="3547">
        <f ca="1"/>
        <v>46283</v>
      </c>
      <c r="B224" s="13">
        <f ca="1"/>
        <v>1.5403918599777701E-3</v>
      </c>
      <c r="C224" s="66">
        <f t="shared" ca="1" si="16"/>
        <v>1.2075053652428374</v>
      </c>
      <c r="D224" s="66">
        <f t="shared" ca="1" si="17"/>
        <v>1.2259567898643573</v>
      </c>
      <c r="E224" s="13">
        <f t="shared" ca="1" si="15"/>
        <v>-1.5050632105525879E-2</v>
      </c>
      <c r="F224" s="13">
        <f ca="1"/>
        <v>-1.1932861264095651E-3</v>
      </c>
      <c r="G224" s="67">
        <f t="shared" ca="1" si="18"/>
        <v>1.1080900216761955</v>
      </c>
      <c r="H224" s="13">
        <f ca="1"/>
        <v>6.3186966467667638E-3</v>
      </c>
      <c r="I224" s="67">
        <f t="shared" ca="1" si="19"/>
        <v>1.134765717161867</v>
      </c>
      <c r="J224" s="12">
        <f ca="1"/>
        <v>2.1240689013035663E-3</v>
      </c>
      <c r="K224" s="12">
        <f ca="1"/>
        <v>1.852779168753127E-2</v>
      </c>
      <c r="L224" s="12">
        <f ca="1"/>
        <v>3.2713569920079344E-2</v>
      </c>
      <c r="M224" s="12">
        <f ca="1"/>
        <v>-9.8210812913264167E-3</v>
      </c>
      <c r="N224" s="12">
        <f ca="1"/>
        <v>2.1576198046786565E-3</v>
      </c>
      <c r="O224" s="12">
        <f ca="1"/>
        <v>0</v>
      </c>
      <c r="P224" s="12">
        <f ca="1"/>
        <v>-5.6185036052069925E-4</v>
      </c>
      <c r="Q224" s="12">
        <f ca="1"/>
        <v>-7.9758915118032236E-3</v>
      </c>
      <c r="R224" s="12">
        <f ca="1"/>
        <v>-2.5816023738872707E-3</v>
      </c>
      <c r="S224" s="12">
        <f ca="1"/>
        <v>2.9686150302332237E-2</v>
      </c>
      <c r="T224" s="12">
        <f ca="1"/>
        <v>2.6137135098438513E-2</v>
      </c>
      <c r="U224" s="12">
        <f ca="1"/>
        <v>1.543745035964772E-3</v>
      </c>
      <c r="V224" s="12">
        <f ca="1"/>
        <v>1.0032246506628484E-2</v>
      </c>
      <c r="W224" s="12">
        <f ca="1"/>
        <v>-1.0210976800060001E-2</v>
      </c>
      <c r="X224" s="12">
        <f ca="1"/>
        <v>-9.7367301602306888E-3</v>
      </c>
      <c r="Y224" s="12">
        <f ca="1"/>
        <v>-1.3358380296388916E-2</v>
      </c>
      <c r="Z224" s="12">
        <f ca="1"/>
        <v>-1.3565015179897943E-2</v>
      </c>
    </row>
    <row r="225" spans="1:26" x14ac:dyDescent="0.2">
      <c r="A225" vm="3563">
        <f ca="1"/>
        <v>46286</v>
      </c>
      <c r="B225" s="13">
        <f ca="1"/>
        <v>8.736997644866254E-3</v>
      </c>
      <c r="C225" s="66">
        <f t="shared" ca="1" si="16"/>
        <v>1.2180553367751275</v>
      </c>
      <c r="D225" s="66">
        <f t="shared" ca="1" si="17"/>
        <v>1.2259567898643573</v>
      </c>
      <c r="E225" s="13">
        <f t="shared" ca="1" si="15"/>
        <v>-6.4451317979193077E-3</v>
      </c>
      <c r="F225" s="13">
        <f ca="1"/>
        <v>1.5504995470598137E-2</v>
      </c>
      <c r="G225" s="67">
        <f t="shared" ca="1" si="18"/>
        <v>1.1252709524433</v>
      </c>
      <c r="H225" s="13">
        <f ca="1"/>
        <v>2.7749670801857418E-2</v>
      </c>
      <c r="I225" s="67">
        <f t="shared" ca="1" si="19"/>
        <v>1.1662550922503425</v>
      </c>
      <c r="J225" s="12">
        <f ca="1"/>
        <v>1.8756714381115369E-2</v>
      </c>
      <c r="K225" s="12">
        <f ca="1"/>
        <v>5.0024582104228221E-2</v>
      </c>
      <c r="L225" s="12">
        <f ca="1"/>
        <v>5.8943822927945977E-3</v>
      </c>
      <c r="M225" s="12">
        <f ca="1"/>
        <v>1.3551998428753764E-2</v>
      </c>
      <c r="N225" s="12">
        <f ca="1"/>
        <v>-1.2804532577903593E-2</v>
      </c>
      <c r="O225" s="12">
        <f ca="1"/>
        <v>3.8209606986899569E-2</v>
      </c>
      <c r="P225" s="12">
        <f ca="1"/>
        <v>6.6523001967582207E-3</v>
      </c>
      <c r="Q225" s="12">
        <f ca="1"/>
        <v>1.5857264368747348E-2</v>
      </c>
      <c r="R225" s="12">
        <f ca="1"/>
        <v>8.4788623449261191E-3</v>
      </c>
      <c r="S225" s="12">
        <f ca="1"/>
        <v>1.4121529040015623E-2</v>
      </c>
      <c r="T225" s="12">
        <f ca="1"/>
        <v>2.7786966589480544E-2</v>
      </c>
      <c r="U225" s="12">
        <f ca="1"/>
        <v>3.5406730629614636E-3</v>
      </c>
      <c r="V225" s="12">
        <f ca="1"/>
        <v>1.868274801939207E-2</v>
      </c>
      <c r="W225" s="12">
        <f ca="1"/>
        <v>-3.261776530380045E-2</v>
      </c>
      <c r="X225" s="12">
        <f ca="1"/>
        <v>-2.7874564459930307E-2</v>
      </c>
      <c r="Y225" s="12">
        <f ca="1"/>
        <v>-1.3433467315422165E-2</v>
      </c>
      <c r="Z225" s="12">
        <f ca="1"/>
        <v>-5.6315892868836759E-3</v>
      </c>
    </row>
    <row r="226" spans="1:26" x14ac:dyDescent="0.2">
      <c r="A226" vm="3578">
        <f ca="1"/>
        <v>46287</v>
      </c>
      <c r="B226" s="13">
        <f ca="1"/>
        <v>-1.0972303876617983E-3</v>
      </c>
      <c r="C226" s="66">
        <f t="shared" ca="1" si="16"/>
        <v>1.2167188494457641</v>
      </c>
      <c r="D226" s="66">
        <f t="shared" ca="1" si="17"/>
        <v>1.2259567898643573</v>
      </c>
      <c r="E226" s="13">
        <f t="shared" ca="1" si="15"/>
        <v>-7.5352903911199576E-3</v>
      </c>
      <c r="F226" s="13">
        <f ca="1"/>
        <v>-1.5513897866836768E-4</v>
      </c>
      <c r="G226" s="67">
        <f t="shared" ca="1" si="18"/>
        <v>1.1250963790570128</v>
      </c>
      <c r="H226" s="13">
        <f ca="1"/>
        <v>8.0785466708026554E-3</v>
      </c>
      <c r="I226" s="67">
        <f t="shared" ca="1" si="19"/>
        <v>1.1756767384431481</v>
      </c>
      <c r="J226" s="12">
        <f ca="1"/>
        <v>-9.8612021546441442E-3</v>
      </c>
      <c r="K226" s="12">
        <f ca="1"/>
        <v>1.5568301533419149E-2</v>
      </c>
      <c r="L226" s="12">
        <f ca="1"/>
        <v>1.0364346647532496E-2</v>
      </c>
      <c r="M226" s="12">
        <f ca="1"/>
        <v>-1.5696153473500507E-2</v>
      </c>
      <c r="N226" s="12">
        <f ca="1"/>
        <v>1.7102846648301195E-2</v>
      </c>
      <c r="O226" s="12">
        <f ca="1"/>
        <v>9.4637223974762819E-3</v>
      </c>
      <c r="P226" s="12">
        <f ca="1"/>
        <v>2.4944154877140745E-2</v>
      </c>
      <c r="Q226" s="12">
        <f ca="1"/>
        <v>-7.1968262195729604E-3</v>
      </c>
      <c r="R226" s="12">
        <f ca="1"/>
        <v>2.2715204436838388E-3</v>
      </c>
      <c r="S226" s="12">
        <f ca="1"/>
        <v>5.1839188220370591E-3</v>
      </c>
      <c r="T226" s="12">
        <f ca="1"/>
        <v>-1.4268855273039338E-2</v>
      </c>
      <c r="U226" s="12">
        <f ca="1"/>
        <v>1.0350814709285672E-3</v>
      </c>
      <c r="V226" s="12">
        <f ca="1"/>
        <v>-1.3426194621783738E-2</v>
      </c>
      <c r="W226" s="12">
        <f ca="1"/>
        <v>-1.7721320473614077E-2</v>
      </c>
      <c r="X226" s="12">
        <f ca="1"/>
        <v>-6.1864781263808455E-3</v>
      </c>
      <c r="Y226" s="12">
        <f ca="1"/>
        <v>7.076230299131625E-3</v>
      </c>
      <c r="Z226" s="12">
        <f ca="1"/>
        <v>1.8900230490615844E-2</v>
      </c>
    </row>
    <row r="227" spans="1:26" x14ac:dyDescent="0.2">
      <c r="A227" vm="3592">
        <f ca="1"/>
        <v>46288</v>
      </c>
      <c r="B227" s="13">
        <f ca="1"/>
        <v>-8.2201864610826035E-3</v>
      </c>
      <c r="C227" s="66">
        <f t="shared" ca="1" si="16"/>
        <v>1.206717193632606</v>
      </c>
      <c r="D227" s="66">
        <f t="shared" ca="1" si="17"/>
        <v>1.2259567898643573</v>
      </c>
      <c r="E227" s="13">
        <f t="shared" ca="1" si="15"/>
        <v>-1.5693535360149214E-2</v>
      </c>
      <c r="F227" s="13">
        <f ca="1"/>
        <v>-7.2021515943003767E-3</v>
      </c>
      <c r="G227" s="67">
        <f t="shared" ca="1" si="18"/>
        <v>1.1169932643768457</v>
      </c>
      <c r="H227" s="13">
        <f ca="1"/>
        <v>-8.3616514596098757E-3</v>
      </c>
      <c r="I227" s="67">
        <f t="shared" ca="1" si="19"/>
        <v>1.1658461393271156</v>
      </c>
      <c r="J227" s="12">
        <f ca="1"/>
        <v>-3.5779050689387248E-2</v>
      </c>
      <c r="K227" s="12">
        <f ca="1"/>
        <v>1.6136468418626038E-3</v>
      </c>
      <c r="L227" s="12">
        <f ca="1"/>
        <v>-1.8464451984534058E-2</v>
      </c>
      <c r="M227" s="12">
        <f ca="1"/>
        <v>-1.3190274633330112E-2</v>
      </c>
      <c r="N227" s="12">
        <f ca="1"/>
        <v>-5.8684121430989666E-3</v>
      </c>
      <c r="O227" s="12">
        <f ca="1"/>
        <v>-2.0833333333333259E-2</v>
      </c>
      <c r="P227" s="12">
        <f ca="1"/>
        <v>3.7232110424989528E-3</v>
      </c>
      <c r="Q227" s="12">
        <f ca="1"/>
        <v>5.2008032128514348E-3</v>
      </c>
      <c r="R227" s="12">
        <f ca="1"/>
        <v>-8.035320088300324E-3</v>
      </c>
      <c r="S227" s="12">
        <f ca="1"/>
        <v>-2.6197399462336124E-2</v>
      </c>
      <c r="T227" s="12">
        <f ca="1"/>
        <v>-3.4828036569437559E-3</v>
      </c>
      <c r="U227" s="12">
        <f ca="1"/>
        <v>5.881633515304463E-3</v>
      </c>
      <c r="V227" s="12">
        <f ca="1"/>
        <v>-2.2393913248097808E-2</v>
      </c>
      <c r="W227" s="12">
        <f ca="1"/>
        <v>2.2511375429073333E-2</v>
      </c>
      <c r="X227" s="12">
        <f ca="1"/>
        <v>1.5315448841460411E-2</v>
      </c>
      <c r="Y227" s="12">
        <f ca="1"/>
        <v>1.5756414351112413E-2</v>
      </c>
      <c r="Z227" s="12">
        <f ca="1"/>
        <v>-4.1106514994829313E-2</v>
      </c>
    </row>
    <row r="228" spans="1:26" x14ac:dyDescent="0.2">
      <c r="A228" vm="3609">
        <f ca="1"/>
        <v>46289</v>
      </c>
      <c r="B228" s="13">
        <f ca="1"/>
        <v>-3.2475344476560497E-3</v>
      </c>
      <c r="C228" s="66">
        <f t="shared" ca="1" si="16"/>
        <v>1.2027983379777054</v>
      </c>
      <c r="D228" s="66">
        <f t="shared" ca="1" si="17"/>
        <v>1.2259567898643573</v>
      </c>
      <c r="E228" s="13">
        <f t="shared" ca="1" si="15"/>
        <v>-1.8890104511117552E-2</v>
      </c>
      <c r="F228" s="13">
        <f ca="1"/>
        <v>-8.2051549211392683E-4</v>
      </c>
      <c r="G228" s="67">
        <f t="shared" ca="1" si="18"/>
        <v>1.1160767540988374</v>
      </c>
      <c r="H228" s="13">
        <f ca="1"/>
        <v>-1.4840598480869716E-4</v>
      </c>
      <c r="I228" s="67">
        <f t="shared" ca="1" si="19"/>
        <v>1.1656731207826734</v>
      </c>
      <c r="J228" s="12">
        <f ca="1"/>
        <v>1.2030568989193302E-2</v>
      </c>
      <c r="K228" s="12">
        <f ca="1"/>
        <v>3.7169159953969855E-2</v>
      </c>
      <c r="L228" s="12">
        <f ca="1"/>
        <v>-1.3988262722083755E-2</v>
      </c>
      <c r="M228" s="12">
        <f ca="1"/>
        <v>-7.9800498753113125E-4</v>
      </c>
      <c r="N228" s="12">
        <f ca="1"/>
        <v>1.1352026336686194E-4</v>
      </c>
      <c r="O228" s="12">
        <f ca="1"/>
        <v>-1.0638297872340385E-2</v>
      </c>
      <c r="P228" s="12">
        <f ca="1"/>
        <v>-2.6599113362887894E-2</v>
      </c>
      <c r="Q228" s="12">
        <f ca="1"/>
        <v>-5.3137297988372634E-3</v>
      </c>
      <c r="R228" s="12">
        <f ca="1"/>
        <v>-3.2639012521511468E-3</v>
      </c>
      <c r="S228" s="12">
        <f ca="1"/>
        <v>-1.3042620918899073E-2</v>
      </c>
      <c r="T228" s="12">
        <f ca="1"/>
        <v>-1.9003931847968669E-2</v>
      </c>
      <c r="U228" s="12">
        <f ca="1"/>
        <v>-9.0858848236985423E-3</v>
      </c>
      <c r="V228" s="12">
        <f ca="1"/>
        <v>4.4128856260283733E-4</v>
      </c>
      <c r="W228" s="12">
        <f ca="1"/>
        <v>9.758763369505763E-3</v>
      </c>
      <c r="X228" s="12">
        <f ca="1"/>
        <v>6.8123205683434662E-4</v>
      </c>
      <c r="Y228" s="12">
        <f ca="1"/>
        <v>1.9914055130489938E-3</v>
      </c>
      <c r="Z228" s="12">
        <f ca="1"/>
        <v>-2.224319223510518E-3</v>
      </c>
    </row>
    <row r="229" spans="1:26" x14ac:dyDescent="0.2">
      <c r="A229" vm="3622">
        <f ca="1"/>
        <v>46290</v>
      </c>
      <c r="B229" s="13">
        <f ca="1"/>
        <v>1.0362594546928909E-2</v>
      </c>
      <c r="C229" s="66">
        <f t="shared" ca="1" si="16"/>
        <v>1.2152624494758884</v>
      </c>
      <c r="D229" s="66">
        <f t="shared" ca="1" si="17"/>
        <v>1.2259567898643573</v>
      </c>
      <c r="E229" s="13">
        <f t="shared" ca="1" si="15"/>
        <v>-8.7232604581864541E-3</v>
      </c>
      <c r="F229" s="13">
        <f ca="1"/>
        <v>5.4354910190568262E-3</v>
      </c>
      <c r="G229" s="67">
        <f t="shared" ca="1" si="18"/>
        <v>1.1221431792723198</v>
      </c>
      <c r="H229" s="13">
        <f ca="1"/>
        <v>4.587774929159405E-3</v>
      </c>
      <c r="I229" s="67">
        <f t="shared" ca="1" si="19"/>
        <v>1.1710209667017952</v>
      </c>
      <c r="J229" s="12">
        <f ca="1"/>
        <v>6.106014571841456E-3</v>
      </c>
      <c r="K229" s="12">
        <f ca="1"/>
        <v>-2.8181515588594164E-2</v>
      </c>
      <c r="L229" s="12">
        <f ca="1"/>
        <v>3.253159396657157E-2</v>
      </c>
      <c r="M229" s="12">
        <f ca="1"/>
        <v>7.7867625037435495E-3</v>
      </c>
      <c r="N229" s="12">
        <f ca="1"/>
        <v>-3.291713961407372E-3</v>
      </c>
      <c r="O229" s="12">
        <f ca="1"/>
        <v>9.6774193548387899E-3</v>
      </c>
      <c r="P229" s="12">
        <f ca="1"/>
        <v>3.624872200018503E-3</v>
      </c>
      <c r="Q229" s="12">
        <f ca="1"/>
        <v>3.6631655051914791E-2</v>
      </c>
      <c r="R229" s="12">
        <f ca="1"/>
        <v>1.5331031197904244E-2</v>
      </c>
      <c r="S229" s="12">
        <f ca="1"/>
        <v>6.9928073981047056E-3</v>
      </c>
      <c r="T229" s="12">
        <f ca="1"/>
        <v>-6.4573591627700155E-3</v>
      </c>
      <c r="U229" s="12">
        <f ca="1"/>
        <v>2.9320230233803368E-2</v>
      </c>
      <c r="V229" s="12">
        <f ca="1"/>
        <v>1.1628839522013212E-3</v>
      </c>
      <c r="W229" s="12">
        <f ca="1"/>
        <v>-1.5772382866862555E-2</v>
      </c>
      <c r="X229" s="12">
        <f ca="1"/>
        <v>-5.8351568198395931E-3</v>
      </c>
      <c r="Y229" s="12">
        <f ca="1"/>
        <v>1.882845188284632E-3</v>
      </c>
      <c r="Z229" s="12">
        <f ca="1"/>
        <v>4.3910018239545767E-3</v>
      </c>
    </row>
    <row r="230" spans="1:26" x14ac:dyDescent="0.2">
      <c r="A230" vm="3637">
        <f ca="1"/>
        <v>46293</v>
      </c>
      <c r="B230" s="13">
        <f ca="1"/>
        <v>-6.8313491908301022E-3</v>
      </c>
      <c r="C230" s="66">
        <f t="shared" ca="1" si="16"/>
        <v>1.206960567325015</v>
      </c>
      <c r="D230" s="66">
        <f t="shared" ca="1" si="17"/>
        <v>1.2259567898643573</v>
      </c>
      <c r="E230" s="13">
        <f t="shared" ca="1" si="15"/>
        <v>-1.5495018010744151E-2</v>
      </c>
      <c r="F230" s="13">
        <f ca="1"/>
        <v>-7.441498671160951E-3</v>
      </c>
      <c r="G230" s="67">
        <f t="shared" ca="1" si="18"/>
        <v>1.1137927522949125</v>
      </c>
      <c r="H230" s="13">
        <f ca="1"/>
        <v>-1.0705171255876444E-2</v>
      </c>
      <c r="I230" s="67">
        <f t="shared" ca="1" si="19"/>
        <v>1.1584849867090306</v>
      </c>
      <c r="J230" s="12">
        <f ca="1"/>
        <v>-5.6291779054765678E-3</v>
      </c>
      <c r="K230" s="12">
        <f ca="1"/>
        <v>-2.8770407580774204E-2</v>
      </c>
      <c r="L230" s="12">
        <f ca="1"/>
        <v>-3.6481364497789048E-2</v>
      </c>
      <c r="M230" s="12">
        <f ca="1"/>
        <v>2.2783556215948408E-3</v>
      </c>
      <c r="N230" s="12">
        <f ca="1"/>
        <v>-7.1745814827467447E-3</v>
      </c>
      <c r="O230" s="12">
        <f ca="1"/>
        <v>1.5974440894568565E-2</v>
      </c>
      <c r="P230" s="12">
        <f ca="1"/>
        <v>6.9457306908686789E-3</v>
      </c>
      <c r="Q230" s="12">
        <f ca="1"/>
        <v>-1.3464556250847415E-2</v>
      </c>
      <c r="R230" s="12">
        <f ca="1"/>
        <v>-7.8283050400211884E-3</v>
      </c>
      <c r="S230" s="12">
        <f ca="1"/>
        <v>-9.1834131685609721E-3</v>
      </c>
      <c r="T230" s="12">
        <f ca="1"/>
        <v>-2.4204392649036288E-2</v>
      </c>
      <c r="U230" s="12">
        <f ca="1"/>
        <v>1.6797342768737344E-4</v>
      </c>
      <c r="V230" s="12">
        <f ca="1"/>
        <v>-1.4098610165418246E-2</v>
      </c>
      <c r="W230" s="12">
        <f ca="1"/>
        <v>-9.8978790259229843E-3</v>
      </c>
      <c r="X230" s="12">
        <f ca="1"/>
        <v>9.3910491562729792E-3</v>
      </c>
      <c r="Y230" s="12">
        <f ca="1"/>
        <v>7.2040091877219048E-3</v>
      </c>
      <c r="Z230" s="12">
        <f ca="1"/>
        <v>-2.1589991928975039E-2</v>
      </c>
    </row>
    <row r="231" spans="1:26" x14ac:dyDescent="0.2">
      <c r="A231" vm="3653">
        <f ca="1"/>
        <v>46294</v>
      </c>
      <c r="B231" s="13">
        <f ca="1"/>
        <v>-4.1018881887799393E-3</v>
      </c>
      <c r="C231" s="66">
        <f t="shared" ca="1" si="16"/>
        <v>1.2020097500295812</v>
      </c>
      <c r="D231" s="66">
        <f t="shared" ca="1" si="17"/>
        <v>1.2259567898643573</v>
      </c>
      <c r="E231" s="13">
        <f t="shared" ca="1" si="15"/>
        <v>-1.9533347368161025E-2</v>
      </c>
      <c r="F231" s="13">
        <f ca="1"/>
        <v>-1.8416687347343474E-3</v>
      </c>
      <c r="G231" s="67">
        <f t="shared" ca="1" si="18"/>
        <v>1.1117415150060372</v>
      </c>
      <c r="H231" s="13">
        <f ca="1"/>
        <v>1.9008051267428439E-3</v>
      </c>
      <c r="I231" s="67">
        <f t="shared" ca="1" si="19"/>
        <v>1.1606870409110217</v>
      </c>
      <c r="J231" s="12">
        <f ca="1"/>
        <v>-5.425168062271557E-3</v>
      </c>
      <c r="K231" s="12">
        <f ca="1"/>
        <v>1.0109321735041865E-2</v>
      </c>
      <c r="L231" s="12">
        <f ca="1"/>
        <v>1.7620062284871452E-2</v>
      </c>
      <c r="M231" s="12">
        <f ca="1"/>
        <v>-4.546353034196593E-3</v>
      </c>
      <c r="N231" s="12">
        <f ca="1"/>
        <v>-3.8999770589585037E-3</v>
      </c>
      <c r="O231" s="12">
        <f ca="1"/>
        <v>-2.0964360587001352E-3</v>
      </c>
      <c r="P231" s="12">
        <f ca="1"/>
        <v>-1.7750390876483113E-2</v>
      </c>
      <c r="Q231" s="12">
        <f ca="1"/>
        <v>-5.1058481599319805E-4</v>
      </c>
      <c r="R231" s="12">
        <f ca="1"/>
        <v>-2.6595744680851019E-2</v>
      </c>
      <c r="S231" s="12">
        <f ca="1"/>
        <v>1.5819435306233531E-2</v>
      </c>
      <c r="T231" s="12">
        <f ca="1"/>
        <v>-1.0335323840146904E-2</v>
      </c>
      <c r="U231" s="12">
        <f ca="1"/>
        <v>1.8094742772938321E-3</v>
      </c>
      <c r="V231" s="12">
        <f ca="1"/>
        <v>2.1125330083282545E-3</v>
      </c>
      <c r="W231" s="12">
        <f ca="1"/>
        <v>-4.7603935258648811E-3</v>
      </c>
      <c r="X231" s="12">
        <f ca="1"/>
        <v>-9.6428744488056273E-3</v>
      </c>
      <c r="Y231" s="12">
        <f ca="1"/>
        <v>-1.3786669430911114E-2</v>
      </c>
      <c r="Z231" s="12">
        <f ca="1"/>
        <v>2.5915996425379895E-2</v>
      </c>
    </row>
    <row r="232" spans="1:26" x14ac:dyDescent="0.2">
      <c r="A232" vm="3670">
        <f ca="1"/>
        <v>46295</v>
      </c>
      <c r="B232" s="13">
        <f ca="1"/>
        <v>-6.6065493979507086E-4</v>
      </c>
      <c r="C232" s="66">
        <f t="shared" ca="1" si="16"/>
        <v>1.2012156363505424</v>
      </c>
      <c r="D232" s="66">
        <f t="shared" ca="1" si="17"/>
        <v>1.2259567898643573</v>
      </c>
      <c r="E232" s="13">
        <f t="shared" ca="1" si="15"/>
        <v>-2.0181097505526532E-2</v>
      </c>
      <c r="F232" s="13">
        <f ca="1"/>
        <v>-2.0544360115153371E-3</v>
      </c>
      <c r="G232" s="67">
        <f t="shared" ca="1" si="18"/>
        <v>1.1094575132021123</v>
      </c>
      <c r="H232" s="13">
        <f ca="1"/>
        <v>2.4934614394320764E-3</v>
      </c>
      <c r="I232" s="67">
        <f t="shared" ca="1" si="19"/>
        <v>1.1635811692907818</v>
      </c>
      <c r="J232" s="12">
        <f ca="1"/>
        <v>1.0138740661686185E-2</v>
      </c>
      <c r="K232" s="12">
        <f ca="1"/>
        <v>1.3848481322006334E-2</v>
      </c>
      <c r="L232" s="12">
        <f ca="1"/>
        <v>-2.8307964886848724E-2</v>
      </c>
      <c r="M232" s="12">
        <f ca="1"/>
        <v>-1.3999205718824403E-2</v>
      </c>
      <c r="N232" s="12">
        <f ca="1"/>
        <v>-8.7517273146016095E-3</v>
      </c>
      <c r="O232" s="12">
        <f ca="1"/>
        <v>1.7857142857142794E-2</v>
      </c>
      <c r="P232" s="12">
        <f ca="1"/>
        <v>-2.6966292134831371E-2</v>
      </c>
      <c r="Q232" s="12">
        <f ca="1"/>
        <v>7.7412763281987651E-3</v>
      </c>
      <c r="R232" s="12">
        <f ca="1"/>
        <v>1.0989678202792952E-2</v>
      </c>
      <c r="S232" s="12">
        <f ca="1"/>
        <v>-1.10109828217404E-2</v>
      </c>
      <c r="T232" s="12">
        <f ca="1"/>
        <v>-8.8187514504526332E-3</v>
      </c>
      <c r="U232" s="12">
        <f ca="1"/>
        <v>-1.5412236775219301E-2</v>
      </c>
      <c r="V232" s="12">
        <f ca="1"/>
        <v>1.0053918190294775E-2</v>
      </c>
      <c r="W232" s="12">
        <f ca="1"/>
        <v>-2.3118622448978776E-3</v>
      </c>
      <c r="X232" s="12">
        <f ca="1"/>
        <v>-8.3178393189153876E-4</v>
      </c>
      <c r="Y232" s="12">
        <f ca="1"/>
        <v>-9.4597435358423354E-4</v>
      </c>
      <c r="Z232" s="12">
        <f ca="1"/>
        <v>1.0854998659876713E-2</v>
      </c>
    </row>
    <row r="233" spans="1:26" x14ac:dyDescent="0.2">
      <c r="A233" vm="3685">
        <f ca="1"/>
        <v>46296</v>
      </c>
      <c r="B233" s="13">
        <f ca="1"/>
        <v>-4.5130838908023713E-3</v>
      </c>
      <c r="C233" s="66">
        <f t="shared" ca="1" si="16"/>
        <v>1.1957944494127488</v>
      </c>
      <c r="D233" s="66">
        <f t="shared" ca="1" si="17"/>
        <v>1.2259567898643573</v>
      </c>
      <c r="E233" s="13">
        <f t="shared" ca="1" si="15"/>
        <v>-2.4603102410278029E-2</v>
      </c>
      <c r="F233" s="13">
        <f ca="1"/>
        <v>1.7833025189148977E-3</v>
      </c>
      <c r="G233" s="67">
        <f t="shared" ca="1" si="18"/>
        <v>1.1114360115800346</v>
      </c>
      <c r="H233" s="13">
        <f ca="1"/>
        <v>3.0550035821943489E-3</v>
      </c>
      <c r="I233" s="67">
        <f t="shared" ca="1" si="19"/>
        <v>1.167135913931139</v>
      </c>
      <c r="J233" s="12">
        <f ca="1"/>
        <v>-1.7051124024182629E-2</v>
      </c>
      <c r="K233" s="12">
        <f ca="1"/>
        <v>1.6643709825527875E-2</v>
      </c>
      <c r="L233" s="12">
        <f ca="1"/>
        <v>1.9932866437362806E-2</v>
      </c>
      <c r="M233" s="12">
        <f ca="1"/>
        <v>-3.5142483133622116E-2</v>
      </c>
      <c r="N233" s="12">
        <f ca="1"/>
        <v>2.3234200743482702E-4</v>
      </c>
      <c r="O233" s="12">
        <f ca="1"/>
        <v>-5.1599587203301489E-3</v>
      </c>
      <c r="P233" s="12">
        <f ca="1"/>
        <v>3.2717474980754613E-3</v>
      </c>
      <c r="Q233" s="12">
        <f ca="1"/>
        <v>-1.9496977968413987E-4</v>
      </c>
      <c r="R233" s="12">
        <f ca="1"/>
        <v>-8.1076211638940743E-3</v>
      </c>
      <c r="S233" s="12">
        <f ca="1"/>
        <v>-2.1498334235029559E-2</v>
      </c>
      <c r="T233" s="12">
        <f ca="1"/>
        <v>4.5656754858347526E-3</v>
      </c>
      <c r="U233" s="12">
        <f ca="1"/>
        <v>5.0530570995452884E-3</v>
      </c>
      <c r="V233" s="12">
        <f ca="1"/>
        <v>-3.6925546859322145E-3</v>
      </c>
      <c r="W233" s="12">
        <f ca="1"/>
        <v>1.5261685976827755E-2</v>
      </c>
      <c r="X233" s="12">
        <f ca="1"/>
        <v>1.4152098330150187E-2</v>
      </c>
      <c r="Y233" s="12">
        <f ca="1"/>
        <v>5.8916359810625707E-3</v>
      </c>
      <c r="Z233" s="12">
        <f ca="1"/>
        <v>-1.8493967917274423E-2</v>
      </c>
    </row>
    <row r="234" spans="1:26" x14ac:dyDescent="0.2">
      <c r="A234" vm="3700">
        <f ca="1"/>
        <v>46297</v>
      </c>
      <c r="B234" s="13">
        <f ca="1"/>
        <v>1.1817818540338212E-2</v>
      </c>
      <c r="C234" s="66">
        <f t="shared" ca="1" si="16"/>
        <v>1.2099261312274523</v>
      </c>
      <c r="D234" s="66">
        <f t="shared" ca="1" si="17"/>
        <v>1.2259567898643573</v>
      </c>
      <c r="E234" s="13">
        <f t="shared" ca="1" si="15"/>
        <v>-1.3076038869753863E-2</v>
      </c>
      <c r="F234" s="13">
        <f ca="1"/>
        <v>7.395384756345047E-3</v>
      </c>
      <c r="G234" s="67">
        <f t="shared" ca="1" si="18"/>
        <v>1.1196555085177264</v>
      </c>
      <c r="H234" s="13">
        <f ca="1"/>
        <v>1.0174790776653397E-2</v>
      </c>
      <c r="I234" s="67">
        <f t="shared" ca="1" si="19"/>
        <v>1.1790112776633066</v>
      </c>
      <c r="J234" s="12">
        <f ca="1"/>
        <v>1.6182485892574539E-2</v>
      </c>
      <c r="K234" s="12">
        <f ca="1"/>
        <v>1.1855029919837445E-2</v>
      </c>
      <c r="L234" s="12">
        <f ca="1"/>
        <v>2.4622135543637347E-2</v>
      </c>
      <c r="M234" s="12">
        <f ca="1"/>
        <v>3.3395950740973124E-3</v>
      </c>
      <c r="N234" s="12">
        <f ca="1"/>
        <v>-5.2264808362367798E-3</v>
      </c>
      <c r="O234" s="12">
        <f ca="1"/>
        <v>1.5560165975103679E-2</v>
      </c>
      <c r="P234" s="12">
        <f ca="1"/>
        <v>0</v>
      </c>
      <c r="Q234" s="12">
        <f ca="1"/>
        <v>9.2238689547581298E-3</v>
      </c>
      <c r="R234" s="12">
        <f ca="1"/>
        <v>1.0202228142407455E-2</v>
      </c>
      <c r="S234" s="12">
        <f ca="1"/>
        <v>3.3465254335933059E-2</v>
      </c>
      <c r="T234" s="12">
        <f ca="1"/>
        <v>2.901759701666462E-2</v>
      </c>
      <c r="U234" s="12">
        <f ca="1"/>
        <v>6.2408463942988934E-3</v>
      </c>
      <c r="V234" s="12">
        <f ca="1"/>
        <v>1.3253837167143567E-2</v>
      </c>
      <c r="W234" s="12">
        <f ca="1"/>
        <v>-2.4397922241461423E-3</v>
      </c>
      <c r="X234" s="12">
        <f ca="1"/>
        <v>-1.9797199420569234E-3</v>
      </c>
      <c r="Y234" s="12">
        <f ca="1"/>
        <v>6.4846773350069054E-3</v>
      </c>
      <c r="Z234" s="12">
        <f ca="1"/>
        <v>7.3546295670966488E-2</v>
      </c>
    </row>
    <row r="235" spans="1:26" x14ac:dyDescent="0.2">
      <c r="A235" vm="3715">
        <f ca="1"/>
        <v>46300</v>
      </c>
      <c r="B235" s="13">
        <f ca="1"/>
        <v>8.7658936736438788E-3</v>
      </c>
      <c r="C235" s="66">
        <f t="shared" ca="1" si="16"/>
        <v>1.2205322150467555</v>
      </c>
      <c r="D235" s="66">
        <f t="shared" ca="1" si="17"/>
        <v>1.2259567898643573</v>
      </c>
      <c r="E235" s="13">
        <f t="shared" ca="1" si="15"/>
        <v>-4.4247683625146545E-3</v>
      </c>
      <c r="F235" s="13">
        <f ca="1"/>
        <v>6.7434125045475746E-3</v>
      </c>
      <c r="G235" s="67">
        <f t="shared" ca="1" si="18"/>
        <v>1.1272058074746505</v>
      </c>
      <c r="H235" s="13">
        <f ca="1"/>
        <v>8.8316123695937332E-3</v>
      </c>
      <c r="I235" s="67">
        <f t="shared" ca="1" si="19"/>
        <v>1.1894238482470083</v>
      </c>
      <c r="J235" s="12">
        <f ca="1"/>
        <v>1.0224768620537672E-2</v>
      </c>
      <c r="K235" s="12">
        <f ca="1"/>
        <v>-2.4882838652086625E-2</v>
      </c>
      <c r="L235" s="12">
        <f ca="1"/>
        <v>5.710206995003464E-3</v>
      </c>
      <c r="M235" s="12">
        <f ca="1"/>
        <v>5.6168088204702205E-3</v>
      </c>
      <c r="N235" s="12">
        <f ca="1"/>
        <v>1.0040863981319426E-2</v>
      </c>
      <c r="O235" s="12">
        <f ca="1"/>
        <v>2.1450459652706977E-2</v>
      </c>
      <c r="P235" s="12">
        <f ca="1"/>
        <v>7.7690389411086969E-3</v>
      </c>
      <c r="Q235" s="12">
        <f ca="1"/>
        <v>1.4781751782505292E-2</v>
      </c>
      <c r="R235" s="12">
        <f ca="1"/>
        <v>-2.3974347448231237E-3</v>
      </c>
      <c r="S235" s="12">
        <f ca="1"/>
        <v>2.0752379343357497E-2</v>
      </c>
      <c r="T235" s="12">
        <f ca="1"/>
        <v>8.4937712344281824E-3</v>
      </c>
      <c r="U235" s="12">
        <f ca="1"/>
        <v>3.1173627328517917E-3</v>
      </c>
      <c r="V235" s="12">
        <f ca="1"/>
        <v>-4.7709923664118747E-4</v>
      </c>
      <c r="W235" s="12">
        <f ca="1"/>
        <v>1.3017751479289963E-2</v>
      </c>
      <c r="X235" s="12">
        <f ca="1"/>
        <v>-1.0643959552953941E-3</v>
      </c>
      <c r="Y235" s="12">
        <f ca="1"/>
        <v>3.013613218330935E-3</v>
      </c>
      <c r="Z235" s="12">
        <f ca="1"/>
        <v>7.6308505284348183E-2</v>
      </c>
    </row>
    <row r="236" spans="1:26" x14ac:dyDescent="0.2">
      <c r="A236" vm="3733">
        <f ca="1"/>
        <v>46301</v>
      </c>
      <c r="B236" s="13">
        <f ca="1"/>
        <v>9.1876315923613994E-3</v>
      </c>
      <c r="C236" s="66">
        <f t="shared" ca="1" si="16"/>
        <v>1.2317460153852138</v>
      </c>
      <c r="D236" s="66">
        <f t="shared" ca="1" si="17"/>
        <v>1.2317460153852138</v>
      </c>
      <c r="E236" s="13">
        <f t="shared" ca="1" si="15"/>
        <v>0</v>
      </c>
      <c r="F236" s="13">
        <f ca="1"/>
        <v>5.4979802021088986E-3</v>
      </c>
      <c r="G236" s="67">
        <f t="shared" ca="1" si="18"/>
        <v>1.1334031626878482</v>
      </c>
      <c r="H236" s="13">
        <f ca="1"/>
        <v>4.5755091245700541E-3</v>
      </c>
      <c r="I236" s="67">
        <f t="shared" ca="1" si="19"/>
        <v>1.1948660679176437</v>
      </c>
      <c r="J236" s="12">
        <f ca="1"/>
        <v>2.2103946717855205E-3</v>
      </c>
      <c r="K236" s="12">
        <f ca="1"/>
        <v>4.9548003204027857E-2</v>
      </c>
      <c r="L236" s="12">
        <f ca="1"/>
        <v>-1.8925952211971131E-3</v>
      </c>
      <c r="M236" s="12">
        <f ca="1"/>
        <v>9.3090608191972457E-3</v>
      </c>
      <c r="N236" s="12">
        <f ca="1"/>
        <v>-3.9301814819096004E-3</v>
      </c>
      <c r="O236" s="12">
        <f ca="1"/>
        <v>2.0000000000000018E-3</v>
      </c>
      <c r="P236" s="12">
        <f ca="1"/>
        <v>2.0272199486057074E-2</v>
      </c>
      <c r="Q236" s="12">
        <f ca="1"/>
        <v>7.8449293575535428E-3</v>
      </c>
      <c r="R236" s="12">
        <f ca="1"/>
        <v>2.2229565321878475E-3</v>
      </c>
      <c r="S236" s="12">
        <f ca="1"/>
        <v>3.6688643071915328E-2</v>
      </c>
      <c r="T236" s="12">
        <f ca="1"/>
        <v>1.7181358787198286E-2</v>
      </c>
      <c r="U236" s="12">
        <f ca="1"/>
        <v>1.3167013167013186E-2</v>
      </c>
      <c r="V236" s="12">
        <f ca="1"/>
        <v>1.9451073985680356E-2</v>
      </c>
      <c r="W236" s="12">
        <f ca="1"/>
        <v>7.3987538940809561E-3</v>
      </c>
      <c r="X236" s="12">
        <f ca="1"/>
        <v>5.3760836925462741E-3</v>
      </c>
      <c r="Y236" s="12">
        <f ca="1"/>
        <v>1.1396601740571999E-2</v>
      </c>
      <c r="Z236" s="12">
        <f ca="1"/>
        <v>4.8512478812319237E-3</v>
      </c>
    </row>
    <row r="237" spans="1:26" x14ac:dyDescent="0.2">
      <c r="A237" vm="3749">
        <f ca="1"/>
        <v>46302</v>
      </c>
      <c r="B237" s="13">
        <f ca="1"/>
        <v>-5.6083489536248162E-3</v>
      </c>
      <c r="C237" s="66">
        <f t="shared" ca="1" si="16"/>
        <v>1.2248379539086967</v>
      </c>
      <c r="D237" s="66">
        <f t="shared" ca="1" si="17"/>
        <v>1.2317460153852138</v>
      </c>
      <c r="E237" s="13">
        <f t="shared" ca="1" si="15"/>
        <v>-5.6083489536247547E-3</v>
      </c>
      <c r="F237" s="13">
        <f ca="1"/>
        <v>-2.4002361729710264E-3</v>
      </c>
      <c r="G237" s="67">
        <f t="shared" ca="1" si="18"/>
        <v>1.1306827274182052</v>
      </c>
      <c r="H237" s="13">
        <f ca="1"/>
        <v>-2.5406102730167746E-3</v>
      </c>
      <c r="I237" s="67">
        <f t="shared" ca="1" si="19"/>
        <v>1.1918303789106131</v>
      </c>
      <c r="J237" s="12">
        <f ca="1"/>
        <v>8.0675585478395817E-3</v>
      </c>
      <c r="K237" s="12">
        <f ca="1"/>
        <v>-3.5651984300043571E-2</v>
      </c>
      <c r="L237" s="12">
        <f ca="1"/>
        <v>-2.6270048194674822E-2</v>
      </c>
      <c r="M237" s="12">
        <f ca="1"/>
        <v>-3.9659766345562675E-2</v>
      </c>
      <c r="N237" s="12">
        <f ca="1"/>
        <v>-4.0617384240455578E-3</v>
      </c>
      <c r="O237" s="12">
        <f ca="1"/>
        <v>-8.9820359281437279E-3</v>
      </c>
      <c r="P237" s="12">
        <f ca="1"/>
        <v>8.9552238805969964E-3</v>
      </c>
      <c r="Q237" s="12">
        <f ca="1"/>
        <v>8.6907235972044639E-4</v>
      </c>
      <c r="R237" s="12">
        <f ca="1"/>
        <v>9.1118904175284676E-3</v>
      </c>
      <c r="S237" s="12">
        <f ca="1"/>
        <v>1.8626433570154699E-3</v>
      </c>
      <c r="T237" s="12">
        <f ca="1"/>
        <v>-3.1353499668801077E-2</v>
      </c>
      <c r="U237" s="12">
        <f ca="1"/>
        <v>7.0216313269493291E-3</v>
      </c>
      <c r="V237" s="12">
        <f ca="1"/>
        <v>1.4163642748449057E-2</v>
      </c>
      <c r="W237" s="12">
        <f ca="1"/>
        <v>3.7881716273677757E-3</v>
      </c>
      <c r="X237" s="12">
        <f ca="1"/>
        <v>-1.1706330089604089E-2</v>
      </c>
      <c r="Y237" s="12">
        <f ca="1"/>
        <v>-7.8877279246056808E-3</v>
      </c>
      <c r="Z237" s="12">
        <f ca="1"/>
        <v>-2.5127966496044651E-2</v>
      </c>
    </row>
    <row r="238" spans="1:26" x14ac:dyDescent="0.2">
      <c r="A238" vm="3766">
        <f ca="1"/>
        <v>46303</v>
      </c>
      <c r="B238" s="13">
        <f ca="1"/>
        <v>-3.9318239506644865E-3</v>
      </c>
      <c r="C238" s="66">
        <f t="shared" ca="1" si="16"/>
        <v>1.2200221067058354</v>
      </c>
      <c r="D238" s="66">
        <f t="shared" ca="1" si="17"/>
        <v>1.2317460153852138</v>
      </c>
      <c r="E238" s="13">
        <f t="shared" ca="1" si="15"/>
        <v>-9.5181218635497881E-3</v>
      </c>
      <c r="F238" s="13">
        <f ca="1"/>
        <v>-4.2330356913101719E-3</v>
      </c>
      <c r="G238" s="67">
        <f t="shared" ca="1" si="18"/>
        <v>1.125896507077496</v>
      </c>
      <c r="H238" s="13">
        <f ca="1"/>
        <v>-1.339527272247365E-2</v>
      </c>
      <c r="I238" s="67">
        <f t="shared" ca="1" si="19"/>
        <v>1.1758654859461763</v>
      </c>
      <c r="J238" s="12">
        <f ca="1"/>
        <v>-7.2257247315542505E-3</v>
      </c>
      <c r="K238" s="12">
        <f ca="1"/>
        <v>-7.7671000565291193E-2</v>
      </c>
      <c r="L238" s="12">
        <f ca="1"/>
        <v>-1.1197208811716597E-2</v>
      </c>
      <c r="M238" s="12">
        <f ca="1"/>
        <v>-1.1738341692455356E-2</v>
      </c>
      <c r="N238" s="12">
        <f ca="1"/>
        <v>2.2721976229317153E-2</v>
      </c>
      <c r="O238" s="12">
        <f ca="1"/>
        <v>-1.8126888217522619E-2</v>
      </c>
      <c r="P238" s="12">
        <f ca="1"/>
        <v>2.2189349112426093E-2</v>
      </c>
      <c r="Q238" s="12">
        <f ca="1"/>
        <v>-1.3496677740863716E-2</v>
      </c>
      <c r="R238" s="12">
        <f ca="1"/>
        <v>1.1138503579172454E-2</v>
      </c>
      <c r="S238" s="12">
        <f ca="1"/>
        <v>-4.3478260869565188E-2</v>
      </c>
      <c r="T238" s="12">
        <f ca="1"/>
        <v>-1.447458399817636E-2</v>
      </c>
      <c r="U238" s="12">
        <f ca="1"/>
        <v>6.0175112762006489E-3</v>
      </c>
      <c r="V238" s="12">
        <f ca="1"/>
        <v>-2.254539858417981E-2</v>
      </c>
      <c r="W238" s="12">
        <f ca="1"/>
        <v>3.3502772643253298E-2</v>
      </c>
      <c r="X238" s="12">
        <f ca="1"/>
        <v>3.1196685352181452E-2</v>
      </c>
      <c r="Y238" s="12">
        <f ca="1"/>
        <v>3.4589571502323224E-2</v>
      </c>
      <c r="Z238" s="12">
        <f ca="1"/>
        <v>-4.1945107398568049E-2</v>
      </c>
    </row>
    <row r="239" spans="1:26" x14ac:dyDescent="0.2">
      <c r="A239" vm="3783">
        <f ca="1"/>
        <v>46304</v>
      </c>
      <c r="B239" s="13">
        <f ca="1"/>
        <v>6.0084230890753952E-3</v>
      </c>
      <c r="C239" s="66">
        <f t="shared" ca="1" si="16"/>
        <v>1.2273525157009491</v>
      </c>
      <c r="D239" s="66">
        <f t="shared" ca="1" si="17"/>
        <v>1.2317460153852138</v>
      </c>
      <c r="E239" s="13">
        <f t="shared" ca="1" si="15"/>
        <v>-3.5668876776440875E-3</v>
      </c>
      <c r="F239" s="13">
        <f ca="1"/>
        <v>5.9953742586540404E-3</v>
      </c>
      <c r="G239" s="67">
        <f t="shared" ca="1" si="18"/>
        <v>1.1326466780139368</v>
      </c>
      <c r="H239" s="13">
        <f ca="1"/>
        <v>4.9359265897963578E-3</v>
      </c>
      <c r="I239" s="67">
        <f t="shared" ca="1" si="19"/>
        <v>1.1816694716642819</v>
      </c>
      <c r="J239" s="12">
        <f ca="1"/>
        <v>8.6991822768660576E-3</v>
      </c>
      <c r="K239" s="12">
        <f ca="1"/>
        <v>6.1289531747976689E-3</v>
      </c>
      <c r="L239" s="12">
        <f ca="1"/>
        <v>-3.8977557132892082E-3</v>
      </c>
      <c r="M239" s="12">
        <f ca="1"/>
        <v>3.9952488932082364E-3</v>
      </c>
      <c r="N239" s="12">
        <f ca="1"/>
        <v>3.1901560897800163E-3</v>
      </c>
      <c r="O239" s="12">
        <f ca="1"/>
        <v>3.0769230769229772E-3</v>
      </c>
      <c r="P239" s="12">
        <f ca="1"/>
        <v>7.1454413892908519E-3</v>
      </c>
      <c r="Q239" s="12">
        <f ca="1"/>
        <v>2.3841870610971982E-2</v>
      </c>
      <c r="R239" s="12">
        <f ca="1"/>
        <v>-1.1103930438869702E-2</v>
      </c>
      <c r="S239" s="12">
        <f ca="1"/>
        <v>3.8873771311158656E-3</v>
      </c>
      <c r="T239" s="12">
        <f ca="1"/>
        <v>1.6190586330519396E-2</v>
      </c>
      <c r="U239" s="12">
        <f ca="1"/>
        <v>-1.0549413452611844E-3</v>
      </c>
      <c r="V239" s="12">
        <f ca="1"/>
        <v>3.2944973628276752E-2</v>
      </c>
      <c r="W239" s="12">
        <f ca="1"/>
        <v>-6.7069081153592336E-4</v>
      </c>
      <c r="X239" s="12">
        <f ca="1"/>
        <v>2.0326164027415494E-3</v>
      </c>
      <c r="Y239" s="12">
        <f ca="1"/>
        <v>-1.9960079840319889E-4</v>
      </c>
      <c r="Z239" s="12">
        <f ca="1"/>
        <v>1.2455626829420252E-2</v>
      </c>
    </row>
    <row r="240" spans="1:26" x14ac:dyDescent="0.2">
      <c r="A240" vm="3797">
        <f ca="1"/>
        <v>46307</v>
      </c>
      <c r="B240" s="13">
        <f ca="1"/>
        <v>6.5746183841581601E-3</v>
      </c>
      <c r="C240" s="66">
        <f t="shared" ca="1" si="16"/>
        <v>1.2354218901145193</v>
      </c>
      <c r="D240" s="66">
        <f t="shared" ca="1" si="17"/>
        <v>1.2354218901145193</v>
      </c>
      <c r="E240" s="13">
        <f t="shared" ca="1" si="15"/>
        <v>0</v>
      </c>
      <c r="F240" s="13">
        <f ca="1"/>
        <v>-6.0367083242363062E-4</v>
      </c>
      <c r="G240" s="67">
        <f t="shared" ca="1" si="18"/>
        <v>1.1319629322509783</v>
      </c>
      <c r="H240" s="13">
        <f ca="1"/>
        <v>-6.9615451169353637E-3</v>
      </c>
      <c r="I240" s="67">
        <f t="shared" ca="1" si="19"/>
        <v>1.1734432263239858</v>
      </c>
      <c r="J240" s="12">
        <f ca="1"/>
        <v>3.1909388834590047E-3</v>
      </c>
      <c r="K240" s="12">
        <f ca="1"/>
        <v>-2.2173489278752401E-2</v>
      </c>
      <c r="L240" s="12">
        <f ca="1"/>
        <v>-1.4086827580525485E-2</v>
      </c>
      <c r="M240" s="12">
        <f ca="1"/>
        <v>1.4411701441169988E-2</v>
      </c>
      <c r="N240" s="12">
        <f ca="1"/>
        <v>1.9761499148211348E-2</v>
      </c>
      <c r="O240" s="12">
        <f ca="1"/>
        <v>0</v>
      </c>
      <c r="P240" s="12">
        <f ca="1"/>
        <v>1.5536596317916596E-2</v>
      </c>
      <c r="Q240" s="12">
        <f ca="1"/>
        <v>1.1362999233744953E-2</v>
      </c>
      <c r="R240" s="12">
        <f ca="1"/>
        <v>1.2862404942965977E-2</v>
      </c>
      <c r="S240" s="12">
        <f ca="1"/>
        <v>-1.8836090059191291E-2</v>
      </c>
      <c r="T240" s="12">
        <f ca="1"/>
        <v>2.2760896779328021E-4</v>
      </c>
      <c r="U240" s="12">
        <f ca="1"/>
        <v>1.3221813880792466E-2</v>
      </c>
      <c r="V240" s="12">
        <f ca="1"/>
        <v>-1.1050565865183271E-2</v>
      </c>
      <c r="W240" s="12">
        <f ca="1"/>
        <v>2.5801640566741391E-2</v>
      </c>
      <c r="X240" s="12">
        <f ca="1"/>
        <v>1.4246627040286786E-2</v>
      </c>
      <c r="Y240" s="12">
        <f ca="1"/>
        <v>1.4074665601916614E-2</v>
      </c>
      <c r="Z240" s="12">
        <f ca="1"/>
        <v>5.2285169465460246E-3</v>
      </c>
    </row>
    <row r="241" spans="1:26" x14ac:dyDescent="0.2">
      <c r="A241" vm="3812">
        <f ca="1"/>
        <v>46308</v>
      </c>
      <c r="B241" s="13">
        <f ca="1"/>
        <v>1.2029756855594952E-3</v>
      </c>
      <c r="C241" s="66">
        <f t="shared" ca="1" si="16"/>
        <v>1.2369080726097352</v>
      </c>
      <c r="D241" s="66">
        <f t="shared" ca="1" si="17"/>
        <v>1.2369080726097352</v>
      </c>
      <c r="E241" s="13">
        <f t="shared" ca="1" si="15"/>
        <v>0</v>
      </c>
      <c r="F241" s="13">
        <f ca="1"/>
        <v>-1.1566636679094522E-4</v>
      </c>
      <c r="G241" s="67">
        <f t="shared" ca="1" si="18"/>
        <v>1.1318320022112629</v>
      </c>
      <c r="H241" s="13">
        <f ca="1"/>
        <v>-3.3108144335423084E-3</v>
      </c>
      <c r="I241" s="67">
        <f t="shared" ca="1" si="19"/>
        <v>1.1695581735533298</v>
      </c>
      <c r="J241" s="12">
        <f ca="1"/>
        <v>1.5760667106052839E-3</v>
      </c>
      <c r="K241" s="12">
        <f ca="1"/>
        <v>-3.0525791178669381E-2</v>
      </c>
      <c r="L241" s="12">
        <f ca="1"/>
        <v>-8.6480614973263314E-3</v>
      </c>
      <c r="M241" s="12">
        <f ca="1"/>
        <v>5.6191687871076645E-3</v>
      </c>
      <c r="N241" s="12">
        <f ca="1"/>
        <v>3.5638712551508966E-3</v>
      </c>
      <c r="O241" s="12">
        <f ca="1"/>
        <v>0</v>
      </c>
      <c r="P241" s="12">
        <f ca="1"/>
        <v>-7.0746374248319421E-3</v>
      </c>
      <c r="Q241" s="12">
        <f ca="1"/>
        <v>4.2502078906034857E-3</v>
      </c>
      <c r="R241" s="12">
        <f ca="1"/>
        <v>8.7984280141939486E-4</v>
      </c>
      <c r="S241" s="12">
        <f ca="1"/>
        <v>7.2731373157048917E-3</v>
      </c>
      <c r="T241" s="12">
        <f ca="1"/>
        <v>-4.551143474798125E-3</v>
      </c>
      <c r="U241" s="12">
        <f ca="1"/>
        <v>-5.0133411156508823E-3</v>
      </c>
      <c r="V241" s="12">
        <f ca="1"/>
        <v>-3.6604631449157488E-3</v>
      </c>
      <c r="W241" s="12">
        <f ca="1"/>
        <v>2.4280314044780482E-2</v>
      </c>
      <c r="X241" s="12">
        <f ca="1"/>
        <v>1.2697674418604699E-2</v>
      </c>
      <c r="Y241" s="12">
        <f ca="1"/>
        <v>1.3780883945270217E-2</v>
      </c>
      <c r="Z241" s="12">
        <f ca="1"/>
        <v>-4.2100110145636971E-2</v>
      </c>
    </row>
    <row r="242" spans="1:26" x14ac:dyDescent="0.2">
      <c r="A242" vm="3828">
        <f ca="1"/>
        <v>46309</v>
      </c>
      <c r="B242" s="13">
        <f ca="1"/>
        <v>-1.1393218384559124E-2</v>
      </c>
      <c r="C242" s="66">
        <f t="shared" ca="1" si="16"/>
        <v>1.2228157088168685</v>
      </c>
      <c r="D242" s="66">
        <f t="shared" ca="1" si="17"/>
        <v>1.2369080726097352</v>
      </c>
      <c r="E242" s="13">
        <f t="shared" ca="1" si="15"/>
        <v>-1.1393218384559032E-2</v>
      </c>
      <c r="F242" s="13">
        <f ca="1"/>
        <v>-1.0809629696276302E-2</v>
      </c>
      <c r="G242" s="67">
        <f t="shared" ca="1" si="18"/>
        <v>1.1195973173889642</v>
      </c>
      <c r="H242" s="13">
        <f ca="1"/>
        <v>-1.9661901367725942E-2</v>
      </c>
      <c r="I242" s="67">
        <f t="shared" ca="1" si="19"/>
        <v>1.1465624361011066</v>
      </c>
      <c r="J242" s="12">
        <f ca="1"/>
        <v>-1.6794460975051551E-2</v>
      </c>
      <c r="K242" s="12">
        <f ca="1"/>
        <v>-0.15460737694383753</v>
      </c>
      <c r="L242" s="12">
        <f ca="1"/>
        <v>-6.0938092629272078E-2</v>
      </c>
      <c r="M242" s="12">
        <f ca="1"/>
        <v>-9.9103848181338883E-3</v>
      </c>
      <c r="N242" s="12">
        <f ca="1"/>
        <v>1.853290422816567E-2</v>
      </c>
      <c r="O242" s="12">
        <f ca="1"/>
        <v>-2.9380902413431165E-2</v>
      </c>
      <c r="P242" s="12">
        <f ca="1"/>
        <v>3.4556465977912287E-2</v>
      </c>
      <c r="Q242" s="12">
        <f ca="1"/>
        <v>-1.7959333885361972E-2</v>
      </c>
      <c r="R242" s="12">
        <f ca="1"/>
        <v>4.9520907199578357E-3</v>
      </c>
      <c r="S242" s="12">
        <f ca="1"/>
        <v>-3.0953513755562434E-2</v>
      </c>
      <c r="T242" s="12">
        <f ca="1"/>
        <v>-3.8290090296033807E-2</v>
      </c>
      <c r="U242" s="12">
        <f ca="1"/>
        <v>2.8670793920157589E-2</v>
      </c>
      <c r="V242" s="12">
        <f ca="1"/>
        <v>-1.7402738030783405E-2</v>
      </c>
      <c r="W242" s="12">
        <f ca="1"/>
        <v>1.0220014194464166E-2</v>
      </c>
      <c r="X242" s="12">
        <f ca="1"/>
        <v>1.9795159142056651E-2</v>
      </c>
      <c r="Y242" s="12">
        <f ca="1"/>
        <v>5.7287115253907839E-3</v>
      </c>
      <c r="Z242" s="12">
        <f ca="1"/>
        <v>-2.7980068991950935E-2</v>
      </c>
    </row>
    <row r="243" spans="1:26" x14ac:dyDescent="0.2">
      <c r="A243" vm="3843">
        <f ca="1"/>
        <v>46310</v>
      </c>
      <c r="B243" s="13">
        <f ca="1"/>
        <v>-3.8680106853480249E-5</v>
      </c>
      <c r="C243" s="66">
        <f t="shared" ca="1" si="16"/>
        <v>1.2227684101745893</v>
      </c>
      <c r="D243" s="66">
        <f t="shared" ca="1" si="17"/>
        <v>1.2369080726097352</v>
      </c>
      <c r="E243" s="13">
        <f t="shared" ca="1" si="15"/>
        <v>-1.1431457800508079E-2</v>
      </c>
      <c r="F243" s="13">
        <f ca="1"/>
        <v>2.8456340956339865E-3</v>
      </c>
      <c r="G243" s="67">
        <f t="shared" ca="1" si="18"/>
        <v>1.1227832816887064</v>
      </c>
      <c r="H243" s="13">
        <f ca="1"/>
        <v>-1.3032443926195292E-3</v>
      </c>
      <c r="I243" s="67">
        <f t="shared" ca="1" si="19"/>
        <v>1.1450681850354696</v>
      </c>
      <c r="J243" s="12">
        <f ca="1"/>
        <v>3.6665211697950451E-3</v>
      </c>
      <c r="K243" s="12">
        <f ca="1"/>
        <v>5.9440559440559371E-2</v>
      </c>
      <c r="L243" s="12">
        <f ca="1"/>
        <v>-3.6260826639141985E-2</v>
      </c>
      <c r="M243" s="12">
        <f ca="1"/>
        <v>6.7085507400703737E-3</v>
      </c>
      <c r="N243" s="12">
        <f ca="1"/>
        <v>2.3970363913705661E-3</v>
      </c>
      <c r="O243" s="12">
        <f ca="1"/>
        <v>-1.0810810810810811E-2</v>
      </c>
      <c r="P243" s="12">
        <f ca="1"/>
        <v>1.4721074380165344E-2</v>
      </c>
      <c r="Q243" s="12">
        <f ca="1"/>
        <v>1.0774044857501552E-2</v>
      </c>
      <c r="R243" s="12">
        <f ca="1"/>
        <v>-2.799160251924393E-3</v>
      </c>
      <c r="S243" s="12">
        <f ca="1"/>
        <v>-5.5451263537906748E-3</v>
      </c>
      <c r="T243" s="12">
        <f ca="1"/>
        <v>2.2462562396006636E-2</v>
      </c>
      <c r="U243" s="12">
        <f ca="1"/>
        <v>-4.0631364562118133E-3</v>
      </c>
      <c r="V243" s="12">
        <f ca="1"/>
        <v>2.676322418135868E-3</v>
      </c>
      <c r="W243" s="12">
        <f ca="1"/>
        <v>-4.2855135590840199E-3</v>
      </c>
      <c r="X243" s="12">
        <f ca="1"/>
        <v>-1.2250045036930279E-2</v>
      </c>
      <c r="Y243" s="12">
        <f ca="1"/>
        <v>-2.8963120293490352E-4</v>
      </c>
      <c r="Z243" s="12">
        <f ca="1"/>
        <v>-2.3264984227129304E-2</v>
      </c>
    </row>
    <row r="244" spans="1:26" x14ac:dyDescent="0.2">
      <c r="A244" vm="3857">
        <f ca="1"/>
        <v>46311</v>
      </c>
      <c r="B244" s="13">
        <f ca="1"/>
        <v>-7.7144765001593589E-3</v>
      </c>
      <c r="C244" s="66">
        <f t="shared" ca="1" si="16"/>
        <v>1.2133353920091603</v>
      </c>
      <c r="D244" s="66">
        <f t="shared" ca="1" si="17"/>
        <v>1.2369080726097352</v>
      </c>
      <c r="E244" s="13">
        <f t="shared" ca="1" si="15"/>
        <v>-1.9057746588102754E-2</v>
      </c>
      <c r="F244" s="13">
        <f ca="1"/>
        <v>-1.1065186125759574E-2</v>
      </c>
      <c r="G244" s="67">
        <f t="shared" ca="1" si="18"/>
        <v>1.1103594756979298</v>
      </c>
      <c r="H244" s="13">
        <f ca="1"/>
        <v>-2.5000000000000022E-2</v>
      </c>
      <c r="I244" s="67">
        <f t="shared" ca="1" si="19"/>
        <v>1.1164414804095828</v>
      </c>
      <c r="J244" s="12">
        <f ca="1"/>
        <v>-2.3194456524890494E-2</v>
      </c>
      <c r="K244" s="12">
        <f ca="1"/>
        <v>-0.11909886640837997</v>
      </c>
      <c r="L244" s="12">
        <f ca="1"/>
        <v>-3.8789289871944188E-2</v>
      </c>
      <c r="M244" s="12">
        <f ca="1"/>
        <v>3.1732599957678964E-4</v>
      </c>
      <c r="N244" s="12">
        <f ca="1"/>
        <v>2.0652173913043637E-2</v>
      </c>
      <c r="O244" s="12">
        <f ca="1"/>
        <v>-3.2786885245902342E-3</v>
      </c>
      <c r="P244" s="12">
        <f ca="1"/>
        <v>7.9748875880207848E-3</v>
      </c>
      <c r="Q244" s="12">
        <f ca="1"/>
        <v>-1.9260714815364288E-2</v>
      </c>
      <c r="R244" s="12">
        <f ca="1"/>
        <v>4.269005847953089E-3</v>
      </c>
      <c r="S244" s="12">
        <f ca="1"/>
        <v>-4.5247291842128168E-2</v>
      </c>
      <c r="T244" s="12">
        <f ca="1"/>
        <v>-3.8823666162966397E-2</v>
      </c>
      <c r="U244" s="12">
        <f ca="1"/>
        <v>1.1349577202687033E-2</v>
      </c>
      <c r="V244" s="12">
        <f ca="1"/>
        <v>-1.8684251844873545E-2</v>
      </c>
      <c r="W244" s="12">
        <f ca="1"/>
        <v>3.3726098920482617E-2</v>
      </c>
      <c r="X244" s="12">
        <f ca="1"/>
        <v>2.5852635418566638E-2</v>
      </c>
      <c r="Y244" s="12">
        <f ca="1"/>
        <v>3.0033800096571639E-2</v>
      </c>
      <c r="Z244" s="12">
        <f ca="1"/>
        <v>-1.7426995020858538E-2</v>
      </c>
    </row>
    <row r="245" spans="1:26" x14ac:dyDescent="0.2">
      <c r="A245" vm="3873">
        <f ca="1"/>
        <v>46314</v>
      </c>
      <c r="B245" s="13">
        <f ca="1"/>
        <v>2.3735226324731414E-3</v>
      </c>
      <c r="C245" s="66">
        <f t="shared" ca="1" si="16"/>
        <v>1.2162152710228746</v>
      </c>
      <c r="D245" s="66">
        <f t="shared" ca="1" si="17"/>
        <v>1.2369080726097352</v>
      </c>
      <c r="E245" s="13">
        <f t="shared" ca="1" si="15"/>
        <v>-1.6729457948480474E-2</v>
      </c>
      <c r="F245" s="13">
        <f ca="1"/>
        <v>4.2319030461841489E-3</v>
      </c>
      <c r="G245" s="67">
        <f t="shared" ca="1" si="18"/>
        <v>1.1150584093454954</v>
      </c>
      <c r="H245" s="13">
        <f ca="1"/>
        <v>1.2059735136658256E-2</v>
      </c>
      <c r="I245" s="67">
        <f t="shared" ca="1" si="19"/>
        <v>1.129905468958901</v>
      </c>
      <c r="J245" s="12">
        <f ca="1"/>
        <v>9.6464931287287836E-3</v>
      </c>
      <c r="K245" s="12">
        <f ca="1"/>
        <v>-4.3981104414400063E-3</v>
      </c>
      <c r="L245" s="12">
        <f ca="1"/>
        <v>-1.6471272163548489E-3</v>
      </c>
      <c r="M245" s="12">
        <f ca="1"/>
        <v>-1.7024426350851218E-2</v>
      </c>
      <c r="N245" s="12">
        <f ca="1"/>
        <v>-5.1118210862620694E-3</v>
      </c>
      <c r="O245" s="12">
        <f ca="1"/>
        <v>0</v>
      </c>
      <c r="P245" s="12">
        <f ca="1"/>
        <v>-9.2584799259320949E-4</v>
      </c>
      <c r="Q245" s="12">
        <f ca="1"/>
        <v>8.4491068897081245E-3</v>
      </c>
      <c r="R245" s="12">
        <f ca="1"/>
        <v>-1.5140045420135584E-3</v>
      </c>
      <c r="S245" s="12">
        <f ca="1"/>
        <v>1.7764258555132972E-2</v>
      </c>
      <c r="T245" s="12">
        <f ca="1"/>
        <v>-1.6205103398234444E-2</v>
      </c>
      <c r="U245" s="12">
        <f ca="1"/>
        <v>6.4906835437918975E-3</v>
      </c>
      <c r="V245" s="12">
        <f ca="1"/>
        <v>4.9799999999999844E-2</v>
      </c>
      <c r="W245" s="12">
        <f ca="1"/>
        <v>-8.6683502832569648E-3</v>
      </c>
      <c r="X245" s="12">
        <f ca="1"/>
        <v>-2.7556780301346562E-3</v>
      </c>
      <c r="Y245" s="12">
        <f ca="1"/>
        <v>-1.7251078192387026E-2</v>
      </c>
      <c r="Z245" s="12">
        <f ca="1"/>
        <v>1.3216462370745807E-2</v>
      </c>
    </row>
    <row r="246" spans="1:26" x14ac:dyDescent="0.2">
      <c r="A246" vm="3889">
        <f ca="1"/>
        <v>46315</v>
      </c>
      <c r="B246" s="13">
        <f ca="1"/>
        <v>-2.6989338431273246E-3</v>
      </c>
      <c r="C246" s="66">
        <f t="shared" ca="1" si="16"/>
        <v>1.2129327864673827</v>
      </c>
      <c r="D246" s="66">
        <f t="shared" ca="1" si="17"/>
        <v>1.2369080726097352</v>
      </c>
      <c r="E246" s="13">
        <f t="shared" ca="1" si="15"/>
        <v>-1.9383240091373512E-2</v>
      </c>
      <c r="F246" s="13">
        <f ca="1"/>
        <v>3.3529902932887268E-3</v>
      </c>
      <c r="G246" s="67">
        <f t="shared" ca="1" si="18"/>
        <v>1.1187971893684807</v>
      </c>
      <c r="H246" s="13">
        <f ca="1"/>
        <v>-1.0162035748093601E-3</v>
      </c>
      <c r="I246" s="67">
        <f t="shared" ca="1" si="19"/>
        <v>1.1287572549821483</v>
      </c>
      <c r="J246" s="12">
        <f ca="1"/>
        <v>-1.1053621825023674E-2</v>
      </c>
      <c r="K246" s="12">
        <f ca="1"/>
        <v>1.6524869109947771E-2</v>
      </c>
      <c r="L246" s="12">
        <f ca="1"/>
        <v>-1.2228260869565299E-2</v>
      </c>
      <c r="M246" s="12">
        <f ca="1"/>
        <v>-2.3666092943200878E-3</v>
      </c>
      <c r="N246" s="12">
        <f ca="1"/>
        <v>7.4930421751218113E-4</v>
      </c>
      <c r="O246" s="12">
        <f ca="1"/>
        <v>-8.7719298245614308E-3</v>
      </c>
      <c r="P246" s="12">
        <f ca="1"/>
        <v>-7.1609098567818608E-3</v>
      </c>
      <c r="Q246" s="12">
        <f ca="1"/>
        <v>-3.0926675663517367E-3</v>
      </c>
      <c r="R246" s="12">
        <f ca="1"/>
        <v>-1.0030909196944049E-2</v>
      </c>
      <c r="S246" s="12">
        <f ca="1"/>
        <v>-6.5752114528216943E-4</v>
      </c>
      <c r="T246" s="12">
        <f ca="1"/>
        <v>1.9176398279041162E-2</v>
      </c>
      <c r="U246" s="12">
        <f ca="1"/>
        <v>-9.2413086496634378E-4</v>
      </c>
      <c r="V246" s="12">
        <f ca="1"/>
        <v>6.8584492284240461E-4</v>
      </c>
      <c r="W246" s="12">
        <f ca="1"/>
        <v>4.8884604792067687E-3</v>
      </c>
      <c r="X246" s="12">
        <f ca="1"/>
        <v>5.9722779337700871E-3</v>
      </c>
      <c r="Y246" s="12">
        <f ca="1"/>
        <v>6.8689181453922554E-3</v>
      </c>
      <c r="Z246" s="12">
        <f ca="1"/>
        <v>-1.1489591781563835E-3</v>
      </c>
    </row>
    <row r="247" spans="1:26" x14ac:dyDescent="0.2">
      <c r="A247" vm="3906">
        <f ca="1"/>
        <v>46316</v>
      </c>
      <c r="B247" s="13">
        <f ca="1"/>
        <v>9.1961936590639701E-3</v>
      </c>
      <c r="C247" s="66">
        <f t="shared" ca="1" si="16"/>
        <v>1.2240871512671647</v>
      </c>
      <c r="D247" s="66">
        <f t="shared" ca="1" si="17"/>
        <v>1.2369080726097352</v>
      </c>
      <c r="E247" s="13">
        <f t="shared" ca="1" si="15"/>
        <v>-1.0365298461930019E-2</v>
      </c>
      <c r="F247" s="13">
        <f ca="1"/>
        <v>5.2532345101099498E-3</v>
      </c>
      <c r="G247" s="67">
        <f t="shared" ca="1" si="18"/>
        <v>1.1246744933734851</v>
      </c>
      <c r="H247" s="13">
        <f ca="1"/>
        <v>1.0548611401418606E-2</v>
      </c>
      <c r="I247" s="67">
        <f t="shared" ca="1" si="19"/>
        <v>1.1406640766314871</v>
      </c>
      <c r="J247" s="12">
        <f ca="1"/>
        <v>-1.6200951248513618E-2</v>
      </c>
      <c r="K247" s="12">
        <f ca="1"/>
        <v>-4.9895380653468546E-3</v>
      </c>
      <c r="L247" s="12">
        <f ca="1"/>
        <v>4.2198860286893236E-2</v>
      </c>
      <c r="M247" s="12">
        <f ca="1"/>
        <v>1.2508087125296719E-2</v>
      </c>
      <c r="N247" s="12">
        <f ca="1"/>
        <v>-8.6640282383141365E-3</v>
      </c>
      <c r="O247" s="12">
        <f ca="1"/>
        <v>2.7654867256637239E-2</v>
      </c>
      <c r="P247" s="12">
        <f ca="1"/>
        <v>-4.2426813746287984E-4</v>
      </c>
      <c r="Q247" s="12">
        <f ca="1"/>
        <v>2.0305713802246661E-3</v>
      </c>
      <c r="R247" s="12">
        <f ca="1"/>
        <v>1.3225331369661308E-2</v>
      </c>
      <c r="S247" s="12">
        <f ca="1"/>
        <v>1.0258097317343173E-2</v>
      </c>
      <c r="T247" s="12">
        <f ca="1"/>
        <v>2.9188276444337191E-2</v>
      </c>
      <c r="U247" s="12">
        <f ca="1"/>
        <v>3.7200510752957161E-3</v>
      </c>
      <c r="V247" s="12">
        <f ca="1"/>
        <v>-9.8998591173893313E-4</v>
      </c>
      <c r="W247" s="12">
        <f ca="1"/>
        <v>-1.9184652278178005E-3</v>
      </c>
      <c r="X247" s="12">
        <f ca="1"/>
        <v>4.7405963404367757E-3</v>
      </c>
      <c r="Y247" s="12">
        <f ca="1"/>
        <v>-1.7055144968732838E-3</v>
      </c>
      <c r="Z247" s="12">
        <f ca="1"/>
        <v>7.7948440354557169E-2</v>
      </c>
    </row>
    <row r="248" spans="1:26" x14ac:dyDescent="0.2">
      <c r="A248" vm="3922">
        <f ca="1"/>
        <v>46317</v>
      </c>
      <c r="B248" s="13">
        <f ca="1"/>
        <v>-1.9550191644786274E-2</v>
      </c>
      <c r="C248" s="66">
        <f t="shared" ca="1" si="16"/>
        <v>1.2001560128699713</v>
      </c>
      <c r="D248" s="66">
        <f t="shared" ca="1" si="17"/>
        <v>1.2369080726097352</v>
      </c>
      <c r="E248" s="13">
        <f t="shared" ca="1" si="15"/>
        <v>-2.9712846535330031E-2</v>
      </c>
      <c r="F248" s="13">
        <f ca="1"/>
        <v>-1.1809750481832637E-2</v>
      </c>
      <c r="G248" s="67">
        <f t="shared" ca="1" si="18"/>
        <v>1.1113923682334628</v>
      </c>
      <c r="H248" s="13">
        <f ca="1"/>
        <v>-2.8585217870932156E-2</v>
      </c>
      <c r="I248" s="67">
        <f t="shared" ca="1" si="19"/>
        <v>1.1080579454834303</v>
      </c>
      <c r="J248" s="12">
        <f ca="1"/>
        <v>-3.0790149569421388E-2</v>
      </c>
      <c r="K248" s="12">
        <f ca="1"/>
        <v>-0.10061468780329985</v>
      </c>
      <c r="L248" s="12">
        <f ca="1"/>
        <v>-7.8057977845863769E-2</v>
      </c>
      <c r="M248" s="12">
        <f ca="1"/>
        <v>-2.140575079872209E-2</v>
      </c>
      <c r="N248" s="12">
        <f ca="1"/>
        <v>2.8700906344410804E-2</v>
      </c>
      <c r="O248" s="12">
        <f ca="1"/>
        <v>-4.5209903121636197E-2</v>
      </c>
      <c r="P248" s="12">
        <f ca="1"/>
        <v>2.8183361629881221E-2</v>
      </c>
      <c r="Q248" s="12">
        <f ca="1"/>
        <v>-2.2272258185570881E-2</v>
      </c>
      <c r="R248" s="12">
        <f ca="1"/>
        <v>1.2296869095031804E-2</v>
      </c>
      <c r="S248" s="12">
        <f ca="1"/>
        <v>-4.310242747187687E-2</v>
      </c>
      <c r="T248" s="12">
        <f ca="1"/>
        <v>-3.5743583733739537E-2</v>
      </c>
      <c r="U248" s="12">
        <f ca="1"/>
        <v>1.9933687932606192E-2</v>
      </c>
      <c r="V248" s="12">
        <f ca="1"/>
        <v>-4.5698822273888107E-2</v>
      </c>
      <c r="W248" s="12">
        <f ca="1"/>
        <v>-2.7459325873546714E-4</v>
      </c>
      <c r="X248" s="12">
        <f ca="1"/>
        <v>-4.4095599259186269E-4</v>
      </c>
      <c r="Y248" s="12">
        <f ca="1"/>
        <v>4.1761579347001643E-3</v>
      </c>
      <c r="Z248" s="12">
        <f ca="1"/>
        <v>-9.1394137216747273E-2</v>
      </c>
    </row>
    <row r="249" spans="1:26" x14ac:dyDescent="0.2">
      <c r="A249" vm="3938">
        <f ca="1"/>
        <v>46318</v>
      </c>
      <c r="B249" s="13">
        <f ca="1"/>
        <v>-2.4708239925025363E-3</v>
      </c>
      <c r="C249" s="66">
        <f t="shared" ca="1" si="16"/>
        <v>1.197190638598626</v>
      </c>
      <c r="D249" s="66">
        <f t="shared" ca="1" si="17"/>
        <v>1.2369080726097352</v>
      </c>
      <c r="E249" s="13">
        <f t="shared" ca="1" si="15"/>
        <v>-3.2110255313727569E-2</v>
      </c>
      <c r="F249" s="13">
        <f ca="1"/>
        <v>-5.2227865333264178E-3</v>
      </c>
      <c r="G249" s="67">
        <f t="shared" ca="1" si="18"/>
        <v>1.1055878031394113</v>
      </c>
      <c r="H249" s="13">
        <f ca="1"/>
        <v>-9.9365480432211939E-5</v>
      </c>
      <c r="I249" s="67">
        <f t="shared" ca="1" si="19"/>
        <v>1.1079478427733307</v>
      </c>
      <c r="J249" s="12">
        <f ca="1"/>
        <v>-1.0849233071455355E-2</v>
      </c>
      <c r="K249" s="12">
        <f ca="1"/>
        <v>-2.4550359712230296E-2</v>
      </c>
      <c r="L249" s="12">
        <f ca="1"/>
        <v>-6.493174497673726E-3</v>
      </c>
      <c r="M249" s="12">
        <f ca="1"/>
        <v>-1.3167918163020986E-2</v>
      </c>
      <c r="N249" s="12">
        <f ca="1"/>
        <v>-2.7585483532620247E-2</v>
      </c>
      <c r="O249" s="12">
        <f ca="1"/>
        <v>-4.5095828635850488E-3</v>
      </c>
      <c r="P249" s="12">
        <f ca="1"/>
        <v>-1.0155217965653884E-2</v>
      </c>
      <c r="Q249" s="12">
        <f ca="1"/>
        <v>6.5824825362708062E-3</v>
      </c>
      <c r="R249" s="12">
        <f ca="1"/>
        <v>-1.4215151341105958E-3</v>
      </c>
      <c r="S249" s="12">
        <f ca="1"/>
        <v>-4.8261353792847794E-3</v>
      </c>
      <c r="T249" s="12">
        <f ca="1"/>
        <v>-2.4307243558580494E-2</v>
      </c>
      <c r="U249" s="12">
        <f ca="1"/>
        <v>-1.4623702379666259E-2</v>
      </c>
      <c r="V249" s="12">
        <f ca="1"/>
        <v>-9.5055515616263575E-3</v>
      </c>
      <c r="W249" s="12">
        <f ca="1"/>
        <v>3.5500927006798078E-2</v>
      </c>
      <c r="X249" s="12">
        <f ca="1"/>
        <v>2.8807128992412112E-2</v>
      </c>
      <c r="Y249" s="12">
        <f ca="1"/>
        <v>2.249527410207941E-2</v>
      </c>
      <c r="Z249" s="12">
        <f ca="1"/>
        <v>1.8929188255613294E-2</v>
      </c>
    </row>
    <row r="250" spans="1:26" x14ac:dyDescent="0.2">
      <c r="A250" vm="3954">
        <f ca="1"/>
        <v>46321</v>
      </c>
      <c r="B250" s="13">
        <f ca="1"/>
        <v>5.2039021936523934E-3</v>
      </c>
      <c r="C250" s="66">
        <f t="shared" ca="1" si="16"/>
        <v>1.2034207015890492</v>
      </c>
      <c r="D250" s="66">
        <f t="shared" ca="1" si="17"/>
        <v>1.2369080726097352</v>
      </c>
      <c r="E250" s="13">
        <f t="shared" ca="1" si="15"/>
        <v>-2.7073451748141197E-2</v>
      </c>
      <c r="F250" s="13">
        <f ca="1"/>
        <v>7.1055436398805849E-3</v>
      </c>
      <c r="G250" s="67">
        <f t="shared" ca="1" si="18"/>
        <v>1.113443605522338</v>
      </c>
      <c r="H250" s="13">
        <f ca="1"/>
        <v>1.1073253833049579E-2</v>
      </c>
      <c r="I250" s="67">
        <f t="shared" ca="1" si="19"/>
        <v>1.1202164304701394</v>
      </c>
      <c r="J250" s="12">
        <f ca="1"/>
        <v>-9.7390317700453144E-3</v>
      </c>
      <c r="K250" s="12">
        <f ca="1"/>
        <v>1.7608555360929312E-2</v>
      </c>
      <c r="L250" s="12">
        <f ca="1"/>
        <v>2.8097982708933822E-2</v>
      </c>
      <c r="M250" s="12">
        <f ca="1"/>
        <v>5.8447287163649886E-3</v>
      </c>
      <c r="N250" s="12">
        <f ca="1"/>
        <v>-1.0786322942502036E-4</v>
      </c>
      <c r="O250" s="12">
        <f ca="1"/>
        <v>2.491506228765572E-2</v>
      </c>
      <c r="P250" s="12">
        <f ca="1"/>
        <v>3.3363916923847547E-3</v>
      </c>
      <c r="Q250" s="12">
        <f ca="1"/>
        <v>1.5423919467693725E-2</v>
      </c>
      <c r="R250" s="12">
        <f ca="1"/>
        <v>-1.0971313537996963E-2</v>
      </c>
      <c r="S250" s="12">
        <f ca="1"/>
        <v>2.3284008952996871E-2</v>
      </c>
      <c r="T250" s="12">
        <f ca="1"/>
        <v>3.8614848031888194E-3</v>
      </c>
      <c r="U250" s="12">
        <f ca="1"/>
        <v>1.8339114141050494E-3</v>
      </c>
      <c r="V250" s="12">
        <f ca="1"/>
        <v>4.3951612903225801E-3</v>
      </c>
      <c r="W250" s="12">
        <f ca="1"/>
        <v>3.7798408488063373E-3</v>
      </c>
      <c r="X250" s="12">
        <f ca="1"/>
        <v>-5.1455769478153668E-3</v>
      </c>
      <c r="Y250" s="12">
        <f ca="1"/>
        <v>-1.1739693104085847E-2</v>
      </c>
      <c r="Z250" s="12">
        <f ca="1"/>
        <v>-4.000271204827488E-3</v>
      </c>
    </row>
    <row r="251" spans="1:26" x14ac:dyDescent="0.2">
      <c r="A251" vm="3972">
        <f ca="1"/>
        <v>46322</v>
      </c>
      <c r="B251" s="13">
        <f ca="1"/>
        <v>5.4886721813782473E-4</v>
      </c>
      <c r="C251" s="66">
        <f t="shared" ca="1" si="16"/>
        <v>1.2040812197617798</v>
      </c>
      <c r="D251" s="66">
        <f t="shared" ca="1" si="17"/>
        <v>1.2369080726097352</v>
      </c>
      <c r="E251" s="13">
        <f ca="1">(C251-D251)/D251</f>
        <v>-2.65394442601498E-2</v>
      </c>
      <c r="F251" s="13">
        <f ca="1"/>
        <v>5.6051321583023839E-3</v>
      </c>
      <c r="G251" s="67">
        <f t="shared" ca="1" si="18"/>
        <v>1.1196846040821073</v>
      </c>
      <c r="H251" s="13">
        <f ca="1"/>
        <v>1.2707104745857789E-2</v>
      </c>
      <c r="I251" s="67">
        <f t="shared" ca="1" si="19"/>
        <v>1.1344511379901543</v>
      </c>
      <c r="J251" s="12">
        <f ca="1"/>
        <v>8.4025589611380624E-3</v>
      </c>
      <c r="K251" s="12">
        <f ca="1"/>
        <v>7.936220329769883E-2</v>
      </c>
      <c r="L251" s="12">
        <f ca="1"/>
        <v>4.3948343177495186E-2</v>
      </c>
      <c r="M251" s="12">
        <f ca="1"/>
        <v>-5.7011292621423015E-2</v>
      </c>
      <c r="N251" s="12">
        <f ca="1"/>
        <v>-1.6396979503775611E-2</v>
      </c>
      <c r="O251" s="12">
        <f ca="1"/>
        <v>1.3259668508287303E-2</v>
      </c>
      <c r="P251" s="12">
        <f ca="1"/>
        <v>-8.0638457062101043E-3</v>
      </c>
      <c r="Q251" s="12">
        <f ca="1"/>
        <v>-2.3845287269995685E-3</v>
      </c>
      <c r="R251" s="12">
        <f ca="1"/>
        <v>9.2756825913755669E-3</v>
      </c>
      <c r="S251" s="12">
        <f ca="1"/>
        <v>3.9979341981347005E-2</v>
      </c>
      <c r="T251" s="12">
        <f ca="1"/>
        <v>2.0598089092939587E-2</v>
      </c>
      <c r="U251" s="12">
        <f ca="1"/>
        <v>-1.2963110350590945E-2</v>
      </c>
      <c r="V251" s="12">
        <f ca="1"/>
        <v>1.6098598899995986E-2</v>
      </c>
      <c r="W251" s="12">
        <f ca="1"/>
        <v>-2.2527581423003262E-2</v>
      </c>
      <c r="X251" s="12">
        <f ca="1"/>
        <v>-1.6292401189603956E-2</v>
      </c>
      <c r="Y251" s="12">
        <f ca="1"/>
        <v>-1.9923299971938979E-2</v>
      </c>
      <c r="Z251" s="12">
        <f ca="1"/>
        <v>1.1436351259360045E-2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vt:lpstr>
      <vt:lpstr>Dashboard</vt:lpstr>
      <vt:lpstr>Holdings</vt:lpstr>
      <vt:lpstr>Holdings - ordered by weight</vt:lpstr>
      <vt:lpstr>Prices</vt:lpstr>
      <vt:lpstr>Returns</vt:lpstr>
      <vt:lpstr>E：GM</vt:lpstr>
      <vt:lpstr>COVER!Print_Area</vt:lpstr>
      <vt:lpstr>Dashboard!Print_Area</vt:lpstr>
      <vt:lpstr>Holdings!Print_Area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 Z.</dc:creator>
  <cp:lastModifiedBy>Yiqiu Z.</cp:lastModifiedBy>
  <cp:lastPrinted>2026-09-20T09:02:20Z</cp:lastPrinted>
  <dcterms:created xsi:type="dcterms:W3CDTF">2026-09-17T09:20:14Z</dcterms:created>
  <dcterms:modified xsi:type="dcterms:W3CDTF">2026-10-28T16:45:27Z</dcterms:modified>
</cp:coreProperties>
</file>